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TaiLieu\PO Nguyen Mau\SanXuatTrucTiep\PO DH - DH auto lead\"/>
    </mc:Choice>
  </mc:AlternateContent>
  <xr:revisionPtr revIDLastSave="0" documentId="13_ncr:1_{D87713D5-1547-4A6C-AA26-99A807B539D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동진글로벌" sheetId="1" r:id="rId1"/>
    <sheet name="Sheet1" sheetId="2" r:id="rId2"/>
  </sheets>
  <definedNames>
    <definedName name="_xlnm._FilterDatabase" localSheetId="0" hidden="1">동진글로벌!$A$6:$BT$6</definedName>
    <definedName name="_xlnm.Print_Area" localSheetId="0">동진글로벌!$A$1:$Z$50</definedName>
    <definedName name="_xlnm.Print_Titles" localSheetId="0">동진글로벌!$1:$6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9" i="1" l="1"/>
  <c r="L9" i="1"/>
  <c r="O9" i="1" l="1"/>
  <c r="S9" i="1" l="1"/>
  <c r="J9" i="1" l="1"/>
  <c r="M9" i="1"/>
  <c r="N9" i="1"/>
  <c r="P9" i="1"/>
  <c r="Q9" i="1"/>
  <c r="R9" i="1"/>
  <c r="I9" i="1"/>
  <c r="H14" i="1" l="1"/>
  <c r="H15" i="1"/>
  <c r="H16" i="1"/>
  <c r="Y11" i="1" l="1"/>
  <c r="H11" i="1"/>
  <c r="Z11" i="1" l="1"/>
  <c r="AI11" i="1" s="1"/>
  <c r="Y16" i="1" l="1"/>
  <c r="Y13" i="1"/>
  <c r="H13" i="1"/>
  <c r="Y12" i="1"/>
  <c r="H12" i="1"/>
  <c r="Y10" i="1"/>
  <c r="H10" i="1"/>
  <c r="Y9" i="1"/>
  <c r="H9" i="1"/>
  <c r="Y8" i="1"/>
  <c r="H8" i="1"/>
  <c r="Y7" i="1"/>
  <c r="H7" i="1"/>
  <c r="AI17" i="1"/>
  <c r="BQ3" i="1"/>
  <c r="BP3" i="1"/>
  <c r="BO3" i="1"/>
  <c r="BN3" i="1"/>
  <c r="BM3" i="1"/>
  <c r="BL3" i="1"/>
  <c r="BK3" i="1"/>
  <c r="BJ3" i="1"/>
  <c r="BI3" i="1"/>
  <c r="BH3" i="1"/>
  <c r="BG3" i="1"/>
  <c r="BF3" i="1"/>
  <c r="BE3" i="1"/>
  <c r="BD3" i="1"/>
  <c r="BC3" i="1"/>
  <c r="BB3" i="1"/>
  <c r="BA3" i="1"/>
  <c r="AZ3" i="1"/>
  <c r="AY3" i="1"/>
  <c r="AX3" i="1"/>
  <c r="AW3" i="1"/>
  <c r="AV3" i="1"/>
  <c r="AU3" i="1"/>
  <c r="AT3" i="1"/>
  <c r="AS3" i="1"/>
  <c r="AR3" i="1"/>
  <c r="AQ3" i="1"/>
  <c r="AP3" i="1"/>
  <c r="AO3" i="1"/>
  <c r="AN3" i="1"/>
  <c r="AM3" i="1"/>
  <c r="AL3" i="1"/>
  <c r="AK3" i="1"/>
  <c r="AJ3" i="1"/>
  <c r="AH3" i="1"/>
  <c r="AG3" i="1"/>
  <c r="Z16" i="1" l="1"/>
  <c r="AI16" i="1" s="1"/>
  <c r="Z10" i="1"/>
  <c r="AI10" i="1" s="1"/>
  <c r="Z9" i="1"/>
  <c r="AI9" i="1" s="1"/>
  <c r="Z12" i="1"/>
  <c r="AI12" i="1" s="1"/>
  <c r="Z13" i="1"/>
  <c r="AI13" i="1" s="1"/>
  <c r="Z8" i="1"/>
  <c r="AI8" i="1" s="1"/>
  <c r="Z7" i="1"/>
  <c r="AI7" i="1" s="1"/>
  <c r="AI3" i="1" l="1"/>
</calcChain>
</file>

<file path=xl/sharedStrings.xml><?xml version="1.0" encoding="utf-8"?>
<sst xmlns="http://schemas.openxmlformats.org/spreadsheetml/2006/main" count="77" uniqueCount="73">
  <si>
    <t>NO</t>
    <phoneticPr fontId="4" type="noConversion"/>
  </si>
  <si>
    <t>차종</t>
    <phoneticPr fontId="4" type="noConversion"/>
  </si>
  <si>
    <t>품번</t>
    <phoneticPr fontId="6" type="noConversion"/>
  </si>
  <si>
    <t>단위</t>
    <phoneticPr fontId="4" type="noConversion"/>
  </si>
  <si>
    <t>발주
합계</t>
    <phoneticPr fontId="4" type="noConversion"/>
  </si>
  <si>
    <t>납품
실적</t>
    <phoneticPr fontId="4" type="noConversion"/>
  </si>
  <si>
    <t>미납량</t>
    <phoneticPr fontId="4" type="noConversion"/>
  </si>
  <si>
    <t>정발주</t>
    <phoneticPr fontId="6" type="noConversion"/>
  </si>
  <si>
    <t>1차</t>
    <phoneticPr fontId="6" type="noConversion"/>
  </si>
  <si>
    <t>2차</t>
    <phoneticPr fontId="6" type="noConversion"/>
  </si>
  <si>
    <t>비고</t>
    <phoneticPr fontId="4" type="noConversion"/>
  </si>
  <si>
    <t>일별납품실적</t>
    <phoneticPr fontId="6" type="noConversion"/>
  </si>
  <si>
    <t>발주일</t>
    <phoneticPr fontId="6" type="noConversion"/>
  </si>
  <si>
    <t>납기일</t>
    <phoneticPr fontId="6" type="noConversion"/>
  </si>
  <si>
    <t>발주일</t>
    <phoneticPr fontId="6" type="noConversion"/>
  </si>
  <si>
    <t>납기일</t>
    <phoneticPr fontId="6" type="noConversion"/>
  </si>
  <si>
    <t>선납</t>
    <phoneticPr fontId="6" type="noConversion"/>
  </si>
  <si>
    <t>1일</t>
    <phoneticPr fontId="6" type="noConversion"/>
  </si>
  <si>
    <t>2일</t>
  </si>
  <si>
    <t>3일</t>
  </si>
  <si>
    <t>4일</t>
  </si>
  <si>
    <t>5일</t>
  </si>
  <si>
    <t>6일</t>
  </si>
  <si>
    <t>7일</t>
  </si>
  <si>
    <t>8일</t>
  </si>
  <si>
    <t>9일</t>
  </si>
  <si>
    <t>10일</t>
  </si>
  <si>
    <t>11일</t>
  </si>
  <si>
    <t>12일</t>
  </si>
  <si>
    <t>13일</t>
  </si>
  <si>
    <t>14일</t>
  </si>
  <si>
    <t>15일</t>
  </si>
  <si>
    <t>16일</t>
  </si>
  <si>
    <t>17일</t>
  </si>
  <si>
    <t>18일</t>
  </si>
  <si>
    <t>19일</t>
  </si>
  <si>
    <t>20일</t>
  </si>
  <si>
    <t>21일</t>
  </si>
  <si>
    <t>22일</t>
  </si>
  <si>
    <t>23일</t>
  </si>
  <si>
    <t>24일</t>
  </si>
  <si>
    <t>25일</t>
  </si>
  <si>
    <t>26일</t>
  </si>
  <si>
    <t>27일</t>
  </si>
  <si>
    <t>28일</t>
  </si>
  <si>
    <t>29일</t>
  </si>
  <si>
    <t>30일</t>
  </si>
  <si>
    <t>31일</t>
  </si>
  <si>
    <t>EA</t>
    <phoneticPr fontId="3" type="noConversion"/>
  </si>
  <si>
    <t>품목명</t>
    <phoneticPr fontId="3" type="noConversion"/>
  </si>
  <si>
    <t>적입수량</t>
    <phoneticPr fontId="3" type="noConversion"/>
  </si>
  <si>
    <t>현재고</t>
    <phoneticPr fontId="3" type="noConversion"/>
  </si>
  <si>
    <t>NQ5PE</t>
    <phoneticPr fontId="3" type="noConversion"/>
  </si>
  <si>
    <t>당사 입고 날짜</t>
    <phoneticPr fontId="3" type="noConversion"/>
  </si>
  <si>
    <t>동진글로벌</t>
    <phoneticPr fontId="3" type="noConversion"/>
  </si>
  <si>
    <t>NQ5aPE WIRE (HTD+HOD)</t>
  </si>
  <si>
    <t>NQ5aPE WIRE (HOD+HAPTIC)</t>
  </si>
  <si>
    <t>합계</t>
    <phoneticPr fontId="3" type="noConversion"/>
  </si>
  <si>
    <t>56190P1550MX</t>
    <phoneticPr fontId="3" type="noConversion"/>
  </si>
  <si>
    <t>56190P1870MX</t>
    <phoneticPr fontId="3" type="noConversion"/>
  </si>
  <si>
    <t>7월 1일</t>
  </si>
  <si>
    <t>7월 8일</t>
  </si>
  <si>
    <t>7월 15일</t>
  </si>
  <si>
    <t>7월 22일</t>
  </si>
  <si>
    <t>8월 5일</t>
  </si>
  <si>
    <t>8월 12일</t>
    <phoneticPr fontId="3" type="noConversion"/>
  </si>
  <si>
    <t>8월 19일</t>
    <phoneticPr fontId="3" type="noConversion"/>
  </si>
  <si>
    <t>8월 26일</t>
    <phoneticPr fontId="3" type="noConversion"/>
  </si>
  <si>
    <t>★</t>
    <phoneticPr fontId="3" type="noConversion"/>
  </si>
  <si>
    <t>9월 2일</t>
    <phoneticPr fontId="3" type="noConversion"/>
  </si>
  <si>
    <t>9월 9일</t>
    <phoneticPr fontId="3" type="noConversion"/>
  </si>
  <si>
    <t>★ : 해당 월 발주 수량 납품 가능</t>
  </si>
  <si>
    <t>9월 16일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</si>
</sst>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_-;\-* #,##0_-;_-* &quot;-&quot;_-;_-@_-"/>
    <numFmt numFmtId="165" formatCode="m&quot;/&quot;d;@"/>
    <numFmt numFmtId="166" formatCode="0_);\(0\)"/>
    <numFmt numFmtId="167" formatCode="mm&quot;월&quot;\ dd&quot;일&quot;"/>
  </numFmts>
  <fonts count="16"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3"/>
      <charset val="129"/>
      <scheme val="minor"/>
    </font>
    <font>
      <sz val="12"/>
      <color theme="1"/>
      <name val="Calibri"/>
      <family val="3"/>
      <charset val="129"/>
      <scheme val="minor"/>
    </font>
    <font>
      <sz val="8"/>
      <name val="Calibri"/>
      <family val="2"/>
      <charset val="129"/>
      <scheme val="minor"/>
    </font>
    <font>
      <sz val="8"/>
      <name val="돋움"/>
      <family val="3"/>
      <charset val="129"/>
    </font>
    <font>
      <sz val="11"/>
      <name val="굴림"/>
      <family val="3"/>
      <charset val="129"/>
    </font>
    <font>
      <sz val="8"/>
      <name val="맑은 고딕"/>
      <family val="3"/>
      <charset val="129"/>
    </font>
    <font>
      <b/>
      <sz val="11"/>
      <name val="굴림"/>
      <family val="3"/>
      <charset val="129"/>
    </font>
    <font>
      <b/>
      <sz val="11"/>
      <color theme="1"/>
      <name val="Calibri"/>
      <family val="3"/>
      <charset val="129"/>
      <scheme val="minor"/>
    </font>
    <font>
      <b/>
      <sz val="11"/>
      <color rgb="FFFF0000"/>
      <name val="Calibri"/>
      <family val="3"/>
      <charset val="129"/>
      <scheme val="minor"/>
    </font>
    <font>
      <b/>
      <sz val="11"/>
      <name val="Calibri"/>
      <family val="3"/>
      <charset val="129"/>
      <scheme val="minor"/>
    </font>
    <font>
      <sz val="11"/>
      <name val="돋움"/>
      <family val="3"/>
      <charset val="129"/>
    </font>
    <font>
      <sz val="11"/>
      <color theme="1"/>
      <name val="Calibri"/>
      <family val="2"/>
      <charset val="129"/>
      <scheme val="minor"/>
    </font>
    <font>
      <sz val="11"/>
      <color theme="1"/>
      <name val="현대하모니 L"/>
      <family val="1"/>
      <charset val="129"/>
    </font>
    <font>
      <sz val="11"/>
      <color theme="1"/>
      <name val="현대 하모니"/>
      <family val="3"/>
      <charset val="129"/>
    </font>
    <font>
      <sz val="11"/>
      <color rgb="FFFF0000"/>
      <name val="현대 하모니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164" fontId="1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164" fontId="12" fillId="0" borderId="0" applyFont="0" applyFill="0" applyBorder="0" applyAlignment="0" applyProtection="0">
      <alignment vertical="center"/>
    </xf>
  </cellStyleXfs>
  <cellXfs count="73">
    <xf numFmtId="0" fontId="0" fillId="0" borderId="0" xfId="0">
      <alignment vertical="center"/>
    </xf>
    <xf numFmtId="0" fontId="2" fillId="0" borderId="0" xfId="2" applyFont="1" applyAlignment="1">
      <alignment horizontal="left" vertical="center"/>
    </xf>
    <xf numFmtId="0" fontId="1" fillId="0" borderId="0" xfId="2" applyAlignment="1">
      <alignment horizontal="left" vertical="center"/>
    </xf>
    <xf numFmtId="0" fontId="1" fillId="0" borderId="0" xfId="2" applyAlignment="1">
      <alignment horizontal="center" vertical="center"/>
    </xf>
    <xf numFmtId="0" fontId="1" fillId="0" borderId="0" xfId="2">
      <alignment vertical="center"/>
    </xf>
    <xf numFmtId="165" fontId="1" fillId="0" borderId="0" xfId="2" applyNumberFormat="1" applyAlignment="1">
      <alignment horizontal="center" vertical="center"/>
    </xf>
    <xf numFmtId="0" fontId="1" fillId="2" borderId="0" xfId="2" applyFill="1">
      <alignment vertical="center"/>
    </xf>
    <xf numFmtId="164" fontId="1" fillId="0" borderId="0" xfId="2" applyNumberFormat="1">
      <alignment vertical="center"/>
    </xf>
    <xf numFmtId="0" fontId="5" fillId="2" borderId="0" xfId="2" applyFont="1" applyFill="1" applyBorder="1" applyAlignment="1">
      <alignment horizontal="center" vertical="center" wrapText="1"/>
    </xf>
    <xf numFmtId="0" fontId="5" fillId="0" borderId="0" xfId="2" applyFont="1" applyAlignment="1">
      <alignment horizontal="center" vertical="center"/>
    </xf>
    <xf numFmtId="0" fontId="7" fillId="0" borderId="0" xfId="2" applyFont="1" applyAlignment="1">
      <alignment horizontal="left" vertical="center"/>
    </xf>
    <xf numFmtId="165" fontId="5" fillId="3" borderId="2" xfId="2" applyNumberFormat="1" applyFont="1" applyFill="1" applyBorder="1" applyAlignment="1">
      <alignment horizontal="center" vertical="center" wrapText="1"/>
    </xf>
    <xf numFmtId="0" fontId="5" fillId="0" borderId="2" xfId="2" applyFont="1" applyBorder="1" applyAlignment="1">
      <alignment horizontal="center" vertical="center"/>
    </xf>
    <xf numFmtId="0" fontId="5" fillId="5" borderId="2" xfId="2" applyFont="1" applyFill="1" applyBorder="1" applyAlignment="1">
      <alignment horizontal="left" vertical="center"/>
    </xf>
    <xf numFmtId="167" fontId="5" fillId="5" borderId="2" xfId="2" applyNumberFormat="1" applyFont="1" applyFill="1" applyBorder="1" applyAlignment="1">
      <alignment horizontal="left" vertical="center"/>
    </xf>
    <xf numFmtId="0" fontId="1" fillId="0" borderId="2" xfId="2" applyFill="1" applyBorder="1" applyAlignment="1">
      <alignment horizontal="center" vertical="center"/>
    </xf>
    <xf numFmtId="164" fontId="8" fillId="0" borderId="2" xfId="3" applyNumberFormat="1" applyFont="1" applyFill="1" applyBorder="1" applyAlignment="1">
      <alignment horizontal="center" vertical="center"/>
    </xf>
    <xf numFmtId="164" fontId="1" fillId="0" borderId="2" xfId="3" applyFont="1" applyFill="1" applyBorder="1" applyAlignment="1">
      <alignment horizontal="center" vertical="center"/>
    </xf>
    <xf numFmtId="164" fontId="9" fillId="0" borderId="2" xfId="2" applyNumberFormat="1" applyFont="1" applyFill="1" applyBorder="1" applyAlignment="1">
      <alignment horizontal="center" vertical="center"/>
    </xf>
    <xf numFmtId="165" fontId="1" fillId="2" borderId="2" xfId="2" applyNumberFormat="1" applyFill="1" applyBorder="1" applyAlignment="1">
      <alignment horizontal="center" vertical="center"/>
    </xf>
    <xf numFmtId="165" fontId="1" fillId="0" borderId="2" xfId="2" applyNumberFormat="1" applyFill="1" applyBorder="1" applyAlignment="1">
      <alignment horizontal="center" vertical="center"/>
    </xf>
    <xf numFmtId="167" fontId="10" fillId="0" borderId="2" xfId="2" applyNumberFormat="1" applyFont="1" applyBorder="1" applyAlignment="1">
      <alignment horizontal="center" vertical="center"/>
    </xf>
    <xf numFmtId="0" fontId="1" fillId="0" borderId="0" xfId="2" applyFill="1">
      <alignment vertical="center"/>
    </xf>
    <xf numFmtId="0" fontId="1" fillId="0" borderId="2" xfId="2" applyBorder="1" applyAlignment="1">
      <alignment horizontal="center" vertical="center"/>
    </xf>
    <xf numFmtId="0" fontId="1" fillId="0" borderId="2" xfId="2" applyFill="1" applyBorder="1">
      <alignment vertical="center"/>
    </xf>
    <xf numFmtId="167" fontId="10" fillId="0" borderId="2" xfId="2" applyNumberFormat="1" applyFont="1" applyFill="1" applyBorder="1" applyAlignment="1">
      <alignment horizontal="center" vertical="center"/>
    </xf>
    <xf numFmtId="0" fontId="1" fillId="0" borderId="0" xfId="2" applyFill="1" applyBorder="1">
      <alignment vertical="center"/>
    </xf>
    <xf numFmtId="164" fontId="1" fillId="0" borderId="2" xfId="3" applyFont="1" applyFill="1" applyBorder="1">
      <alignment vertical="center"/>
    </xf>
    <xf numFmtId="165" fontId="1" fillId="0" borderId="2" xfId="2" applyNumberFormat="1" applyBorder="1" applyAlignment="1">
      <alignment horizontal="center" vertical="center"/>
    </xf>
    <xf numFmtId="164" fontId="1" fillId="0" borderId="2" xfId="1" applyFont="1" applyFill="1" applyBorder="1" applyAlignment="1">
      <alignment horizontal="center" vertical="center"/>
    </xf>
    <xf numFmtId="165" fontId="5" fillId="3" borderId="2" xfId="2" applyNumberFormat="1" applyFont="1" applyFill="1" applyBorder="1" applyAlignment="1">
      <alignment horizontal="center" vertical="center" wrapText="1"/>
    </xf>
    <xf numFmtId="164" fontId="13" fillId="0" borderId="2" xfId="1" applyFont="1" applyFill="1" applyBorder="1" applyAlignment="1">
      <alignment vertical="center"/>
    </xf>
    <xf numFmtId="165" fontId="1" fillId="2" borderId="0" xfId="2" applyNumberFormat="1" applyFill="1" applyBorder="1" applyAlignment="1">
      <alignment horizontal="center" vertical="center"/>
    </xf>
    <xf numFmtId="165" fontId="1" fillId="0" borderId="0" xfId="2" applyNumberFormat="1" applyBorder="1" applyAlignment="1">
      <alignment horizontal="center" vertical="center"/>
    </xf>
    <xf numFmtId="167" fontId="10" fillId="0" borderId="0" xfId="2" applyNumberFormat="1" applyFont="1" applyFill="1" applyBorder="1" applyAlignment="1">
      <alignment horizontal="center" vertical="center"/>
    </xf>
    <xf numFmtId="0" fontId="1" fillId="0" borderId="0" xfId="2" applyBorder="1" applyAlignment="1">
      <alignment horizontal="center" vertical="center"/>
    </xf>
    <xf numFmtId="164" fontId="1" fillId="0" borderId="0" xfId="3" applyFont="1" applyFill="1" applyBorder="1">
      <alignment vertical="center"/>
    </xf>
    <xf numFmtId="0" fontId="5" fillId="4" borderId="2" xfId="2" applyFont="1" applyFill="1" applyBorder="1" applyAlignment="1">
      <alignment horizontal="center" vertical="center" wrapText="1"/>
    </xf>
    <xf numFmtId="165" fontId="5" fillId="3" borderId="5" xfId="2" applyNumberFormat="1" applyFont="1" applyFill="1" applyBorder="1" applyAlignment="1">
      <alignment horizontal="center" vertical="center" wrapText="1"/>
    </xf>
    <xf numFmtId="165" fontId="1" fillId="2" borderId="5" xfId="2" applyNumberFormat="1" applyFill="1" applyBorder="1" applyAlignment="1">
      <alignment horizontal="center" vertical="center"/>
    </xf>
    <xf numFmtId="167" fontId="5" fillId="4" borderId="2" xfId="2" applyNumberFormat="1" applyFont="1" applyFill="1" applyBorder="1" applyAlignment="1">
      <alignment horizontal="center" vertical="center" wrapText="1"/>
    </xf>
    <xf numFmtId="0" fontId="1" fillId="0" borderId="2" xfId="2" applyBorder="1" applyAlignment="1">
      <alignment horizontal="left" vertical="center"/>
    </xf>
    <xf numFmtId="0" fontId="1" fillId="0" borderId="2" xfId="2" applyBorder="1">
      <alignment vertical="center"/>
    </xf>
    <xf numFmtId="0" fontId="5" fillId="4" borderId="2" xfId="2" applyFont="1" applyFill="1" applyBorder="1" applyAlignment="1">
      <alignment horizontal="center" vertical="center" wrapText="1"/>
    </xf>
    <xf numFmtId="164" fontId="14" fillId="0" borderId="2" xfId="1" applyFont="1" applyFill="1" applyBorder="1" applyAlignment="1">
      <alignment horizontal="center" vertical="center"/>
    </xf>
    <xf numFmtId="164" fontId="14" fillId="0" borderId="2" xfId="1" applyFont="1" applyFill="1" applyBorder="1" applyAlignment="1">
      <alignment vertical="center"/>
    </xf>
    <xf numFmtId="164" fontId="14" fillId="0" borderId="2" xfId="3" applyFont="1" applyFill="1" applyBorder="1" applyAlignment="1">
      <alignment horizontal="center" vertical="center"/>
    </xf>
    <xf numFmtId="164" fontId="15" fillId="0" borderId="2" xfId="1" applyFont="1" applyFill="1" applyBorder="1" applyAlignment="1">
      <alignment horizontal="center" vertical="center"/>
    </xf>
    <xf numFmtId="164" fontId="8" fillId="6" borderId="2" xfId="3" applyNumberFormat="1" applyFont="1" applyFill="1" applyBorder="1" applyAlignment="1">
      <alignment horizontal="center" vertical="center"/>
    </xf>
    <xf numFmtId="164" fontId="14" fillId="6" borderId="2" xfId="1" applyFont="1" applyFill="1" applyBorder="1" applyAlignment="1">
      <alignment horizontal="center" vertical="center"/>
    </xf>
    <xf numFmtId="164" fontId="13" fillId="6" borderId="2" xfId="1" applyFont="1" applyFill="1" applyBorder="1" applyAlignment="1">
      <alignment vertical="center"/>
    </xf>
    <xf numFmtId="164" fontId="1" fillId="6" borderId="2" xfId="3" applyFont="1" applyFill="1" applyBorder="1" applyAlignment="1">
      <alignment horizontal="center" vertical="center"/>
    </xf>
    <xf numFmtId="164" fontId="9" fillId="6" borderId="2" xfId="2" applyNumberFormat="1" applyFont="1" applyFill="1" applyBorder="1" applyAlignment="1">
      <alignment horizontal="center" vertical="center"/>
    </xf>
    <xf numFmtId="165" fontId="1" fillId="6" borderId="5" xfId="2" applyNumberFormat="1" applyFill="1" applyBorder="1" applyAlignment="1">
      <alignment horizontal="center" vertical="center"/>
    </xf>
    <xf numFmtId="165" fontId="1" fillId="6" borderId="2" xfId="2" applyNumberFormat="1" applyFill="1" applyBorder="1" applyAlignment="1">
      <alignment horizontal="center" vertical="center"/>
    </xf>
    <xf numFmtId="167" fontId="10" fillId="6" borderId="2" xfId="2" applyNumberFormat="1" applyFont="1" applyFill="1" applyBorder="1" applyAlignment="1">
      <alignment horizontal="center" vertical="center"/>
    </xf>
    <xf numFmtId="0" fontId="1" fillId="6" borderId="0" xfId="2" applyFill="1">
      <alignment vertical="center"/>
    </xf>
    <xf numFmtId="0" fontId="1" fillId="6" borderId="2" xfId="2" applyFill="1" applyBorder="1" applyAlignment="1">
      <alignment horizontal="center" vertical="center"/>
    </xf>
    <xf numFmtId="0" fontId="1" fillId="6" borderId="2" xfId="2" applyFill="1" applyBorder="1">
      <alignment vertical="center"/>
    </xf>
    <xf numFmtId="0" fontId="5" fillId="4" borderId="2" xfId="2" applyFont="1" applyFill="1" applyBorder="1" applyAlignment="1">
      <alignment horizontal="center" vertical="center" wrapText="1"/>
    </xf>
    <xf numFmtId="164" fontId="14" fillId="0" borderId="2" xfId="1" applyFont="1" applyFill="1" applyBorder="1">
      <alignment vertical="center"/>
    </xf>
    <xf numFmtId="0" fontId="5" fillId="4" borderId="2" xfId="2" applyFont="1" applyFill="1" applyBorder="1" applyAlignment="1">
      <alignment horizontal="center" vertical="center" wrapText="1"/>
    </xf>
    <xf numFmtId="0" fontId="1" fillId="6" borderId="6" xfId="2" applyFill="1" applyBorder="1" applyAlignment="1">
      <alignment horizontal="center" vertical="center"/>
    </xf>
    <xf numFmtId="0" fontId="1" fillId="6" borderId="7" xfId="2" applyFill="1" applyBorder="1" applyAlignment="1">
      <alignment horizontal="center" vertical="center"/>
    </xf>
    <xf numFmtId="0" fontId="1" fillId="6" borderId="5" xfId="2" applyFill="1" applyBorder="1" applyAlignment="1">
      <alignment horizontal="center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3" borderId="3" xfId="2" applyFont="1" applyFill="1" applyBorder="1" applyAlignment="1">
      <alignment horizontal="center" vertical="center" wrapText="1"/>
    </xf>
    <xf numFmtId="0" fontId="5" fillId="3" borderId="4" xfId="2" applyFont="1" applyFill="1" applyBorder="1" applyAlignment="1">
      <alignment horizontal="center" vertical="center" wrapText="1"/>
    </xf>
    <xf numFmtId="166" fontId="5" fillId="3" borderId="2" xfId="2" applyNumberFormat="1" applyFont="1" applyFill="1" applyBorder="1" applyAlignment="1">
      <alignment horizontal="center" vertical="center" wrapText="1"/>
    </xf>
    <xf numFmtId="0" fontId="5" fillId="3" borderId="2" xfId="2" applyFont="1" applyFill="1" applyBorder="1" applyAlignment="1">
      <alignment horizontal="center" vertical="center" wrapText="1"/>
    </xf>
    <xf numFmtId="0" fontId="5" fillId="4" borderId="2" xfId="2" applyFont="1" applyFill="1" applyBorder="1" applyAlignment="1">
      <alignment horizontal="center" vertical="center" wrapText="1"/>
    </xf>
    <xf numFmtId="165" fontId="5" fillId="3" borderId="5" xfId="2" applyNumberFormat="1" applyFont="1" applyFill="1" applyBorder="1" applyAlignment="1">
      <alignment horizontal="center" vertical="center" wrapText="1"/>
    </xf>
    <xf numFmtId="165" fontId="5" fillId="3" borderId="2" xfId="2" applyNumberFormat="1" applyFont="1" applyFill="1" applyBorder="1" applyAlignment="1">
      <alignment horizontal="center" vertical="center" wrapText="1"/>
    </xf>
  </cellXfs>
  <cellStyles count="5">
    <cellStyle name="Comma [0]" xfId="1" builtinId="6"/>
    <cellStyle name="Normal" xfId="0" builtinId="0"/>
    <cellStyle name="쉼표 [0] 21" xfId="4" xr:uid="{00000000-0005-0000-0000-000001000000}"/>
    <cellStyle name="쉼표 [0] 4" xfId="3" xr:uid="{00000000-0005-0000-0000-000002000000}"/>
    <cellStyle name="표준 10" xfId="2" xr:uid="{00000000-0005-0000-0000-000004000000}"/>
  </cellStyles>
  <dxfs count="4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85724</xdr:colOff>
      <xdr:row>23</xdr:row>
      <xdr:rowOff>95250</xdr:rowOff>
    </xdr:from>
    <xdr:to>
      <xdr:col>3</xdr:col>
      <xdr:colOff>180975</xdr:colOff>
      <xdr:row>24</xdr:row>
      <xdr:rowOff>142875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SpPr txBox="1"/>
      </xdr:nvSpPr>
      <xdr:spPr>
        <a:xfrm>
          <a:off x="1457324" y="4914900"/>
          <a:ext cx="781051" cy="2571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150mm</a:t>
          </a:r>
          <a:endParaRPr lang="ko-KR" altLang="en-US" sz="1100"/>
        </a:p>
      </xdr:txBody>
    </xdr:sp>
    <xdr:clientData/>
  </xdr:twoCellAnchor>
  <xdr:twoCellAnchor>
    <xdr:from>
      <xdr:col>3</xdr:col>
      <xdr:colOff>114300</xdr:colOff>
      <xdr:row>20</xdr:row>
      <xdr:rowOff>180974</xdr:rowOff>
    </xdr:from>
    <xdr:to>
      <xdr:col>6</xdr:col>
      <xdr:colOff>438150</xdr:colOff>
      <xdr:row>24</xdr:row>
      <xdr:rowOff>76200</xdr:rowOff>
    </xdr:to>
    <xdr:sp macro="" textlink="">
      <xdr:nvSpPr>
        <xdr:cNvPr id="30" name="정육면체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/>
      </xdr:nvSpPr>
      <xdr:spPr>
        <a:xfrm>
          <a:off x="2171700" y="4371974"/>
          <a:ext cx="2381250" cy="733426"/>
        </a:xfrm>
        <a:prstGeom prst="cube">
          <a:avLst>
            <a:gd name="adj" fmla="val 74182"/>
          </a:avLst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495300</xdr:colOff>
      <xdr:row>19</xdr:row>
      <xdr:rowOff>38100</xdr:rowOff>
    </xdr:from>
    <xdr:to>
      <xdr:col>5</xdr:col>
      <xdr:colOff>76200</xdr:colOff>
      <xdr:row>22</xdr:row>
      <xdr:rowOff>38100</xdr:rowOff>
    </xdr:to>
    <xdr:sp macro="" textlink="">
      <xdr:nvSpPr>
        <xdr:cNvPr id="2" name="정육면체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2552700" y="2133600"/>
          <a:ext cx="952500" cy="628650"/>
        </a:xfrm>
        <a:prstGeom prst="cub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609600</xdr:colOff>
      <xdr:row>19</xdr:row>
      <xdr:rowOff>38100</xdr:rowOff>
    </xdr:from>
    <xdr:to>
      <xdr:col>6</xdr:col>
      <xdr:colOff>190500</xdr:colOff>
      <xdr:row>22</xdr:row>
      <xdr:rowOff>38100</xdr:rowOff>
    </xdr:to>
    <xdr:sp macro="" textlink="">
      <xdr:nvSpPr>
        <xdr:cNvPr id="3" name="정육면체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3352800" y="2133600"/>
          <a:ext cx="952500" cy="628650"/>
        </a:xfrm>
        <a:prstGeom prst="cub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333375</xdr:colOff>
      <xdr:row>19</xdr:row>
      <xdr:rowOff>200025</xdr:rowOff>
    </xdr:from>
    <xdr:to>
      <xdr:col>4</xdr:col>
      <xdr:colOff>600075</xdr:colOff>
      <xdr:row>22</xdr:row>
      <xdr:rowOff>200025</xdr:rowOff>
    </xdr:to>
    <xdr:sp macro="" textlink="">
      <xdr:nvSpPr>
        <xdr:cNvPr id="4" name="정육면체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2390775" y="2295525"/>
          <a:ext cx="952500" cy="628650"/>
        </a:xfrm>
        <a:prstGeom prst="cub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457200</xdr:colOff>
      <xdr:row>19</xdr:row>
      <xdr:rowOff>200025</xdr:rowOff>
    </xdr:from>
    <xdr:to>
      <xdr:col>6</xdr:col>
      <xdr:colOff>38100</xdr:colOff>
      <xdr:row>22</xdr:row>
      <xdr:rowOff>200025</xdr:rowOff>
    </xdr:to>
    <xdr:sp macro="" textlink="">
      <xdr:nvSpPr>
        <xdr:cNvPr id="5" name="정육면체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3200400" y="2295525"/>
          <a:ext cx="952500" cy="628650"/>
        </a:xfrm>
        <a:prstGeom prst="cub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495300</xdr:colOff>
      <xdr:row>16</xdr:row>
      <xdr:rowOff>190500</xdr:rowOff>
    </xdr:from>
    <xdr:to>
      <xdr:col>5</xdr:col>
      <xdr:colOff>76200</xdr:colOff>
      <xdr:row>19</xdr:row>
      <xdr:rowOff>190500</xdr:rowOff>
    </xdr:to>
    <xdr:sp macro="" textlink="">
      <xdr:nvSpPr>
        <xdr:cNvPr id="6" name="정육면체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2552700" y="1657350"/>
          <a:ext cx="952500" cy="628650"/>
        </a:xfrm>
        <a:prstGeom prst="cub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609600</xdr:colOff>
      <xdr:row>16</xdr:row>
      <xdr:rowOff>190500</xdr:rowOff>
    </xdr:from>
    <xdr:to>
      <xdr:col>6</xdr:col>
      <xdr:colOff>190500</xdr:colOff>
      <xdr:row>19</xdr:row>
      <xdr:rowOff>190500</xdr:rowOff>
    </xdr:to>
    <xdr:sp macro="" textlink="">
      <xdr:nvSpPr>
        <xdr:cNvPr id="7" name="정육면체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3352800" y="1657350"/>
          <a:ext cx="952500" cy="628650"/>
        </a:xfrm>
        <a:prstGeom prst="cub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333375</xdr:colOff>
      <xdr:row>17</xdr:row>
      <xdr:rowOff>142875</xdr:rowOff>
    </xdr:from>
    <xdr:to>
      <xdr:col>4</xdr:col>
      <xdr:colOff>600075</xdr:colOff>
      <xdr:row>20</xdr:row>
      <xdr:rowOff>142875</xdr:rowOff>
    </xdr:to>
    <xdr:sp macro="" textlink="">
      <xdr:nvSpPr>
        <xdr:cNvPr id="8" name="정육면체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>
          <a:off x="2390775" y="1819275"/>
          <a:ext cx="952500" cy="628650"/>
        </a:xfrm>
        <a:prstGeom prst="cub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457200</xdr:colOff>
      <xdr:row>17</xdr:row>
      <xdr:rowOff>142875</xdr:rowOff>
    </xdr:from>
    <xdr:to>
      <xdr:col>6</xdr:col>
      <xdr:colOff>38100</xdr:colOff>
      <xdr:row>20</xdr:row>
      <xdr:rowOff>142875</xdr:rowOff>
    </xdr:to>
    <xdr:sp macro="" textlink="">
      <xdr:nvSpPr>
        <xdr:cNvPr id="9" name="정육면체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3200400" y="1819275"/>
          <a:ext cx="952500" cy="628650"/>
        </a:xfrm>
        <a:prstGeom prst="cub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495300</xdr:colOff>
      <xdr:row>14</xdr:row>
      <xdr:rowOff>142875</xdr:rowOff>
    </xdr:from>
    <xdr:to>
      <xdr:col>5</xdr:col>
      <xdr:colOff>76200</xdr:colOff>
      <xdr:row>17</xdr:row>
      <xdr:rowOff>142875</xdr:rowOff>
    </xdr:to>
    <xdr:sp macro="" textlink="">
      <xdr:nvSpPr>
        <xdr:cNvPr id="10" name="정육면체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2552700" y="1190625"/>
          <a:ext cx="952500" cy="628650"/>
        </a:xfrm>
        <a:prstGeom prst="cub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609600</xdr:colOff>
      <xdr:row>14</xdr:row>
      <xdr:rowOff>142875</xdr:rowOff>
    </xdr:from>
    <xdr:to>
      <xdr:col>6</xdr:col>
      <xdr:colOff>190500</xdr:colOff>
      <xdr:row>17</xdr:row>
      <xdr:rowOff>142875</xdr:rowOff>
    </xdr:to>
    <xdr:sp macro="" textlink="">
      <xdr:nvSpPr>
        <xdr:cNvPr id="11" name="정육면체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>
          <a:off x="3352800" y="1190625"/>
          <a:ext cx="952500" cy="628650"/>
        </a:xfrm>
        <a:prstGeom prst="cub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333375</xdr:colOff>
      <xdr:row>15</xdr:row>
      <xdr:rowOff>95250</xdr:rowOff>
    </xdr:from>
    <xdr:to>
      <xdr:col>4</xdr:col>
      <xdr:colOff>600075</xdr:colOff>
      <xdr:row>18</xdr:row>
      <xdr:rowOff>95250</xdr:rowOff>
    </xdr:to>
    <xdr:sp macro="" textlink="">
      <xdr:nvSpPr>
        <xdr:cNvPr id="12" name="정육면체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/>
      </xdr:nvSpPr>
      <xdr:spPr>
        <a:xfrm>
          <a:off x="2390775" y="1352550"/>
          <a:ext cx="952500" cy="628650"/>
        </a:xfrm>
        <a:prstGeom prst="cub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457200</xdr:colOff>
      <xdr:row>15</xdr:row>
      <xdr:rowOff>95250</xdr:rowOff>
    </xdr:from>
    <xdr:to>
      <xdr:col>6</xdr:col>
      <xdr:colOff>38100</xdr:colOff>
      <xdr:row>18</xdr:row>
      <xdr:rowOff>95250</xdr:rowOff>
    </xdr:to>
    <xdr:sp macro="" textlink="">
      <xdr:nvSpPr>
        <xdr:cNvPr id="13" name="정육면체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/>
      </xdr:nvSpPr>
      <xdr:spPr>
        <a:xfrm>
          <a:off x="3200400" y="1352550"/>
          <a:ext cx="952500" cy="628650"/>
        </a:xfrm>
        <a:prstGeom prst="cub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495300</xdr:colOff>
      <xdr:row>12</xdr:row>
      <xdr:rowOff>85725</xdr:rowOff>
    </xdr:from>
    <xdr:to>
      <xdr:col>5</xdr:col>
      <xdr:colOff>76200</xdr:colOff>
      <xdr:row>15</xdr:row>
      <xdr:rowOff>85725</xdr:rowOff>
    </xdr:to>
    <xdr:sp macro="" textlink="">
      <xdr:nvSpPr>
        <xdr:cNvPr id="14" name="정육면체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>
        <a:xfrm>
          <a:off x="2552700" y="714375"/>
          <a:ext cx="952500" cy="628650"/>
        </a:xfrm>
        <a:prstGeom prst="cub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609600</xdr:colOff>
      <xdr:row>12</xdr:row>
      <xdr:rowOff>85725</xdr:rowOff>
    </xdr:from>
    <xdr:to>
      <xdr:col>6</xdr:col>
      <xdr:colOff>190500</xdr:colOff>
      <xdr:row>15</xdr:row>
      <xdr:rowOff>85725</xdr:rowOff>
    </xdr:to>
    <xdr:sp macro="" textlink="">
      <xdr:nvSpPr>
        <xdr:cNvPr id="15" name="정육면체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/>
      </xdr:nvSpPr>
      <xdr:spPr>
        <a:xfrm>
          <a:off x="3352800" y="714375"/>
          <a:ext cx="952500" cy="628650"/>
        </a:xfrm>
        <a:prstGeom prst="cub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333375</xdr:colOff>
      <xdr:row>13</xdr:row>
      <xdr:rowOff>38100</xdr:rowOff>
    </xdr:from>
    <xdr:to>
      <xdr:col>4</xdr:col>
      <xdr:colOff>600075</xdr:colOff>
      <xdr:row>16</xdr:row>
      <xdr:rowOff>38100</xdr:rowOff>
    </xdr:to>
    <xdr:sp macro="" textlink="">
      <xdr:nvSpPr>
        <xdr:cNvPr id="16" name="정육면체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/>
      </xdr:nvSpPr>
      <xdr:spPr>
        <a:xfrm>
          <a:off x="2390775" y="876300"/>
          <a:ext cx="952500" cy="628650"/>
        </a:xfrm>
        <a:prstGeom prst="cub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457200</xdr:colOff>
      <xdr:row>13</xdr:row>
      <xdr:rowOff>38100</xdr:rowOff>
    </xdr:from>
    <xdr:to>
      <xdr:col>6</xdr:col>
      <xdr:colOff>38100</xdr:colOff>
      <xdr:row>16</xdr:row>
      <xdr:rowOff>38100</xdr:rowOff>
    </xdr:to>
    <xdr:sp macro="" textlink="">
      <xdr:nvSpPr>
        <xdr:cNvPr id="17" name="정육면체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/>
      </xdr:nvSpPr>
      <xdr:spPr>
        <a:xfrm>
          <a:off x="3200400" y="876300"/>
          <a:ext cx="952500" cy="628650"/>
        </a:xfrm>
        <a:prstGeom prst="cub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495300</xdr:colOff>
      <xdr:row>10</xdr:row>
      <xdr:rowOff>28575</xdr:rowOff>
    </xdr:from>
    <xdr:to>
      <xdr:col>5</xdr:col>
      <xdr:colOff>76200</xdr:colOff>
      <xdr:row>13</xdr:row>
      <xdr:rowOff>28575</xdr:rowOff>
    </xdr:to>
    <xdr:sp macro="" textlink="">
      <xdr:nvSpPr>
        <xdr:cNvPr id="18" name="정육면체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/>
      </xdr:nvSpPr>
      <xdr:spPr>
        <a:xfrm>
          <a:off x="2552700" y="2124075"/>
          <a:ext cx="952500" cy="628650"/>
        </a:xfrm>
        <a:prstGeom prst="cub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609600</xdr:colOff>
      <xdr:row>10</xdr:row>
      <xdr:rowOff>28575</xdr:rowOff>
    </xdr:from>
    <xdr:to>
      <xdr:col>6</xdr:col>
      <xdr:colOff>190500</xdr:colOff>
      <xdr:row>13</xdr:row>
      <xdr:rowOff>28575</xdr:rowOff>
    </xdr:to>
    <xdr:sp macro="" textlink="">
      <xdr:nvSpPr>
        <xdr:cNvPr id="19" name="정육면체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/>
      </xdr:nvSpPr>
      <xdr:spPr>
        <a:xfrm>
          <a:off x="3352800" y="2124075"/>
          <a:ext cx="952500" cy="628650"/>
        </a:xfrm>
        <a:prstGeom prst="cub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333375</xdr:colOff>
      <xdr:row>10</xdr:row>
      <xdr:rowOff>190500</xdr:rowOff>
    </xdr:from>
    <xdr:to>
      <xdr:col>4</xdr:col>
      <xdr:colOff>600075</xdr:colOff>
      <xdr:row>13</xdr:row>
      <xdr:rowOff>190500</xdr:rowOff>
    </xdr:to>
    <xdr:sp macro="" textlink="">
      <xdr:nvSpPr>
        <xdr:cNvPr id="20" name="정육면체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/>
      </xdr:nvSpPr>
      <xdr:spPr>
        <a:xfrm>
          <a:off x="2390775" y="2286000"/>
          <a:ext cx="952500" cy="628650"/>
        </a:xfrm>
        <a:prstGeom prst="cub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457200</xdr:colOff>
      <xdr:row>10</xdr:row>
      <xdr:rowOff>190500</xdr:rowOff>
    </xdr:from>
    <xdr:to>
      <xdr:col>6</xdr:col>
      <xdr:colOff>38100</xdr:colOff>
      <xdr:row>13</xdr:row>
      <xdr:rowOff>190500</xdr:rowOff>
    </xdr:to>
    <xdr:sp macro="" textlink="">
      <xdr:nvSpPr>
        <xdr:cNvPr id="21" name="정육면체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/>
      </xdr:nvSpPr>
      <xdr:spPr>
        <a:xfrm>
          <a:off x="3200400" y="2286000"/>
          <a:ext cx="952500" cy="628650"/>
        </a:xfrm>
        <a:prstGeom prst="cub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495300</xdr:colOff>
      <xdr:row>7</xdr:row>
      <xdr:rowOff>180975</xdr:rowOff>
    </xdr:from>
    <xdr:to>
      <xdr:col>5</xdr:col>
      <xdr:colOff>76200</xdr:colOff>
      <xdr:row>10</xdr:row>
      <xdr:rowOff>180975</xdr:rowOff>
    </xdr:to>
    <xdr:sp macro="" textlink="">
      <xdr:nvSpPr>
        <xdr:cNvPr id="22" name="정육면체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/>
      </xdr:nvSpPr>
      <xdr:spPr>
        <a:xfrm>
          <a:off x="2552700" y="1647825"/>
          <a:ext cx="952500" cy="628650"/>
        </a:xfrm>
        <a:prstGeom prst="cub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609600</xdr:colOff>
      <xdr:row>7</xdr:row>
      <xdr:rowOff>180975</xdr:rowOff>
    </xdr:from>
    <xdr:to>
      <xdr:col>6</xdr:col>
      <xdr:colOff>190500</xdr:colOff>
      <xdr:row>10</xdr:row>
      <xdr:rowOff>180975</xdr:rowOff>
    </xdr:to>
    <xdr:sp macro="" textlink="">
      <xdr:nvSpPr>
        <xdr:cNvPr id="23" name="정육면체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/>
      </xdr:nvSpPr>
      <xdr:spPr>
        <a:xfrm>
          <a:off x="3352800" y="1647825"/>
          <a:ext cx="952500" cy="628650"/>
        </a:xfrm>
        <a:prstGeom prst="cub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333375</xdr:colOff>
      <xdr:row>8</xdr:row>
      <xdr:rowOff>133350</xdr:rowOff>
    </xdr:from>
    <xdr:to>
      <xdr:col>4</xdr:col>
      <xdr:colOff>600075</xdr:colOff>
      <xdr:row>11</xdr:row>
      <xdr:rowOff>133350</xdr:rowOff>
    </xdr:to>
    <xdr:sp macro="" textlink="">
      <xdr:nvSpPr>
        <xdr:cNvPr id="24" name="정육면체 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/>
      </xdr:nvSpPr>
      <xdr:spPr>
        <a:xfrm>
          <a:off x="2390775" y="1809750"/>
          <a:ext cx="952500" cy="628650"/>
        </a:xfrm>
        <a:prstGeom prst="cub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457200</xdr:colOff>
      <xdr:row>8</xdr:row>
      <xdr:rowOff>133350</xdr:rowOff>
    </xdr:from>
    <xdr:to>
      <xdr:col>6</xdr:col>
      <xdr:colOff>38100</xdr:colOff>
      <xdr:row>11</xdr:row>
      <xdr:rowOff>133350</xdr:rowOff>
    </xdr:to>
    <xdr:sp macro="" textlink="">
      <xdr:nvSpPr>
        <xdr:cNvPr id="25" name="정육면체 24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/>
      </xdr:nvSpPr>
      <xdr:spPr>
        <a:xfrm>
          <a:off x="3200400" y="1809750"/>
          <a:ext cx="952500" cy="628650"/>
        </a:xfrm>
        <a:prstGeom prst="cub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495300</xdr:colOff>
      <xdr:row>5</xdr:row>
      <xdr:rowOff>123825</xdr:rowOff>
    </xdr:from>
    <xdr:to>
      <xdr:col>5</xdr:col>
      <xdr:colOff>76200</xdr:colOff>
      <xdr:row>8</xdr:row>
      <xdr:rowOff>123825</xdr:rowOff>
    </xdr:to>
    <xdr:sp macro="" textlink="">
      <xdr:nvSpPr>
        <xdr:cNvPr id="26" name="정육면체 2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/>
      </xdr:nvSpPr>
      <xdr:spPr>
        <a:xfrm>
          <a:off x="2552700" y="1171575"/>
          <a:ext cx="952500" cy="628650"/>
        </a:xfrm>
        <a:prstGeom prst="cub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609600</xdr:colOff>
      <xdr:row>5</xdr:row>
      <xdr:rowOff>123825</xdr:rowOff>
    </xdr:from>
    <xdr:to>
      <xdr:col>6</xdr:col>
      <xdr:colOff>190500</xdr:colOff>
      <xdr:row>8</xdr:row>
      <xdr:rowOff>123825</xdr:rowOff>
    </xdr:to>
    <xdr:sp macro="" textlink="">
      <xdr:nvSpPr>
        <xdr:cNvPr id="27" name="정육면체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/>
      </xdr:nvSpPr>
      <xdr:spPr>
        <a:xfrm>
          <a:off x="3352800" y="1171575"/>
          <a:ext cx="952500" cy="628650"/>
        </a:xfrm>
        <a:prstGeom prst="cub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457200</xdr:colOff>
      <xdr:row>6</xdr:row>
      <xdr:rowOff>76200</xdr:rowOff>
    </xdr:from>
    <xdr:to>
      <xdr:col>6</xdr:col>
      <xdr:colOff>38100</xdr:colOff>
      <xdr:row>9</xdr:row>
      <xdr:rowOff>76200</xdr:rowOff>
    </xdr:to>
    <xdr:sp macro="" textlink="">
      <xdr:nvSpPr>
        <xdr:cNvPr id="29" name="정육면체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/>
      </xdr:nvSpPr>
      <xdr:spPr>
        <a:xfrm>
          <a:off x="3200400" y="1333500"/>
          <a:ext cx="952500" cy="628650"/>
        </a:xfrm>
        <a:prstGeom prst="cub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133350</xdr:colOff>
      <xdr:row>24</xdr:row>
      <xdr:rowOff>180975</xdr:rowOff>
    </xdr:from>
    <xdr:to>
      <xdr:col>5</xdr:col>
      <xdr:colOff>590550</xdr:colOff>
      <xdr:row>24</xdr:row>
      <xdr:rowOff>200025</xdr:rowOff>
    </xdr:to>
    <xdr:cxnSp macro="">
      <xdr:nvCxnSpPr>
        <xdr:cNvPr id="32" name="직선 화살표 연결선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CxnSpPr/>
      </xdr:nvCxnSpPr>
      <xdr:spPr>
        <a:xfrm flipV="1">
          <a:off x="2190750" y="5210175"/>
          <a:ext cx="1828800" cy="19050"/>
        </a:xfrm>
        <a:prstGeom prst="straightConnector1">
          <a:avLst/>
        </a:prstGeom>
        <a:ln>
          <a:solidFill>
            <a:srgbClr val="FF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647700</xdr:colOff>
      <xdr:row>22</xdr:row>
      <xdr:rowOff>0</xdr:rowOff>
    </xdr:from>
    <xdr:to>
      <xdr:col>6</xdr:col>
      <xdr:colOff>542925</xdr:colOff>
      <xdr:row>24</xdr:row>
      <xdr:rowOff>190502</xdr:rowOff>
    </xdr:to>
    <xdr:cxnSp macro="">
      <xdr:nvCxnSpPr>
        <xdr:cNvPr id="33" name="직선 화살표 연결선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CxnSpPr/>
      </xdr:nvCxnSpPr>
      <xdr:spPr>
        <a:xfrm flipV="1">
          <a:off x="4076700" y="4610100"/>
          <a:ext cx="581025" cy="609602"/>
        </a:xfrm>
        <a:prstGeom prst="straightConnector1">
          <a:avLst/>
        </a:prstGeom>
        <a:ln>
          <a:solidFill>
            <a:srgbClr val="FF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685799</xdr:colOff>
      <xdr:row>25</xdr:row>
      <xdr:rowOff>38100</xdr:rowOff>
    </xdr:from>
    <xdr:to>
      <xdr:col>5</xdr:col>
      <xdr:colOff>142874</xdr:colOff>
      <xdr:row>26</xdr:row>
      <xdr:rowOff>85725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 txBox="1"/>
      </xdr:nvSpPr>
      <xdr:spPr>
        <a:xfrm>
          <a:off x="2743199" y="5276850"/>
          <a:ext cx="828675" cy="2571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1,150mm</a:t>
          </a:r>
          <a:endParaRPr lang="ko-KR" altLang="en-US" sz="1100"/>
        </a:p>
      </xdr:txBody>
    </xdr:sp>
    <xdr:clientData/>
  </xdr:twoCellAnchor>
  <xdr:twoCellAnchor>
    <xdr:from>
      <xdr:col>6</xdr:col>
      <xdr:colOff>350879</xdr:colOff>
      <xdr:row>22</xdr:row>
      <xdr:rowOff>23726</xdr:rowOff>
    </xdr:from>
    <xdr:to>
      <xdr:col>6</xdr:col>
      <xdr:colOff>617989</xdr:colOff>
      <xdr:row>25</xdr:row>
      <xdr:rowOff>170058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 txBox="1"/>
      </xdr:nvSpPr>
      <xdr:spPr>
        <a:xfrm rot="18621232">
          <a:off x="4211743" y="4887762"/>
          <a:ext cx="774982" cy="26711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1,150mm</a:t>
          </a:r>
          <a:endParaRPr lang="ko-KR" altLang="en-US" sz="1100"/>
        </a:p>
      </xdr:txBody>
    </xdr:sp>
    <xdr:clientData/>
  </xdr:twoCellAnchor>
  <xdr:twoCellAnchor>
    <xdr:from>
      <xdr:col>3</xdr:col>
      <xdr:colOff>28575</xdr:colOff>
      <xdr:row>23</xdr:row>
      <xdr:rowOff>95250</xdr:rowOff>
    </xdr:from>
    <xdr:to>
      <xdr:col>3</xdr:col>
      <xdr:colOff>28575</xdr:colOff>
      <xdr:row>24</xdr:row>
      <xdr:rowOff>152400</xdr:rowOff>
    </xdr:to>
    <xdr:cxnSp macro="">
      <xdr:nvCxnSpPr>
        <xdr:cNvPr id="40" name="직선 화살표 연결선 39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CxnSpPr/>
      </xdr:nvCxnSpPr>
      <xdr:spPr>
        <a:xfrm>
          <a:off x="2085975" y="4914900"/>
          <a:ext cx="0" cy="266700"/>
        </a:xfrm>
        <a:prstGeom prst="straightConnector1">
          <a:avLst/>
        </a:prstGeom>
        <a:ln>
          <a:solidFill>
            <a:srgbClr val="FF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247650</xdr:colOff>
      <xdr:row>5</xdr:row>
      <xdr:rowOff>104775</xdr:rowOff>
    </xdr:from>
    <xdr:to>
      <xdr:col>6</xdr:col>
      <xdr:colOff>266701</xdr:colOff>
      <xdr:row>21</xdr:row>
      <xdr:rowOff>76203</xdr:rowOff>
    </xdr:to>
    <xdr:cxnSp macro="">
      <xdr:nvCxnSpPr>
        <xdr:cNvPr id="44" name="직선 화살표 연결선 43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CxnSpPr/>
      </xdr:nvCxnSpPr>
      <xdr:spPr>
        <a:xfrm flipH="1" flipV="1">
          <a:off x="4362450" y="1152525"/>
          <a:ext cx="19051" cy="3324228"/>
        </a:xfrm>
        <a:prstGeom prst="straightConnector1">
          <a:avLst/>
        </a:prstGeom>
        <a:ln>
          <a:solidFill>
            <a:srgbClr val="FF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638175</xdr:colOff>
      <xdr:row>5</xdr:row>
      <xdr:rowOff>9525</xdr:rowOff>
    </xdr:from>
    <xdr:to>
      <xdr:col>6</xdr:col>
      <xdr:colOff>200025</xdr:colOff>
      <xdr:row>5</xdr:row>
      <xdr:rowOff>9525</xdr:rowOff>
    </xdr:to>
    <xdr:cxnSp macro="">
      <xdr:nvCxnSpPr>
        <xdr:cNvPr id="47" name="직선 화살표 연결선 46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CxnSpPr/>
      </xdr:nvCxnSpPr>
      <xdr:spPr>
        <a:xfrm>
          <a:off x="2695575" y="1057275"/>
          <a:ext cx="1619250" cy="0"/>
        </a:xfrm>
        <a:prstGeom prst="straightConnector1">
          <a:avLst/>
        </a:prstGeom>
        <a:ln>
          <a:solidFill>
            <a:srgbClr val="FF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277918</xdr:colOff>
      <xdr:row>12</xdr:row>
      <xdr:rowOff>125262</xdr:rowOff>
    </xdr:from>
    <xdr:to>
      <xdr:col>7</xdr:col>
      <xdr:colOff>367100</xdr:colOff>
      <xdr:row>13</xdr:row>
      <xdr:rowOff>182822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SpPr txBox="1"/>
      </xdr:nvSpPr>
      <xdr:spPr>
        <a:xfrm>
          <a:off x="4392718" y="2639862"/>
          <a:ext cx="774982" cy="26711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2,205mm</a:t>
          </a:r>
          <a:endParaRPr lang="ko-KR" altLang="en-US" sz="1100"/>
        </a:p>
      </xdr:txBody>
    </xdr:sp>
    <xdr:clientData/>
  </xdr:twoCellAnchor>
  <xdr:twoCellAnchor>
    <xdr:from>
      <xdr:col>4</xdr:col>
      <xdr:colOff>354118</xdr:colOff>
      <xdr:row>3</xdr:row>
      <xdr:rowOff>115737</xdr:rowOff>
    </xdr:from>
    <xdr:to>
      <xdr:col>5</xdr:col>
      <xdr:colOff>443300</xdr:colOff>
      <xdr:row>4</xdr:row>
      <xdr:rowOff>173297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 txBox="1"/>
      </xdr:nvSpPr>
      <xdr:spPr>
        <a:xfrm>
          <a:off x="3097318" y="744387"/>
          <a:ext cx="774982" cy="26711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1,000mm</a:t>
          </a:r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29"/>
  <sheetViews>
    <sheetView showGridLines="0" tabSelected="1" zoomScale="85" zoomScaleNormal="85" zoomScaleSheetLayoutView="85" workbookViewId="0">
      <pane xSplit="26" ySplit="6" topLeftCell="AA7" activePane="bottomRight" state="frozen"/>
      <selection pane="topRight" activeCell="O1" sqref="O1"/>
      <selection pane="bottomLeft" activeCell="A8" sqref="A8"/>
      <selection pane="bottomRight" activeCell="S9" sqref="S9"/>
    </sheetView>
  </sheetViews>
  <sheetFormatPr defaultColWidth="9" defaultRowHeight="15"/>
  <cols>
    <col min="1" max="1" width="5.7109375" style="3" customWidth="1"/>
    <col min="2" max="2" width="8" style="3" customWidth="1"/>
    <col min="3" max="3" width="16.85546875" style="2" customWidth="1"/>
    <col min="4" max="4" width="31" style="2" customWidth="1"/>
    <col min="5" max="7" width="5.7109375" style="3" customWidth="1"/>
    <col min="8" max="8" width="8.7109375" style="4" customWidth="1"/>
    <col min="9" max="22" width="10.140625" style="4" customWidth="1"/>
    <col min="23" max="25" width="10.7109375" style="4" customWidth="1"/>
    <col min="26" max="26" width="8.7109375" style="4" customWidth="1"/>
    <col min="27" max="32" width="7.7109375" style="5" customWidth="1"/>
    <col min="33" max="33" width="11.7109375" style="4" customWidth="1"/>
    <col min="34" max="34" width="4.7109375" style="6" customWidth="1"/>
    <col min="35" max="35" width="6.85546875" style="4" customWidth="1"/>
    <col min="36" max="36" width="7" style="4" customWidth="1"/>
    <col min="37" max="67" width="5.7109375" style="4" customWidth="1"/>
    <col min="68" max="68" width="9.7109375" style="4" customWidth="1"/>
    <col min="69" max="69" width="13.140625" style="4" customWidth="1"/>
    <col min="70" max="72" width="9" style="4" customWidth="1"/>
    <col min="73" max="16384" width="9" style="4"/>
  </cols>
  <sheetData>
    <row r="1" spans="1:69">
      <c r="I1" s="4" t="s">
        <v>71</v>
      </c>
    </row>
    <row r="2" spans="1:69" ht="15.75">
      <c r="A2" s="1" t="s">
        <v>54</v>
      </c>
      <c r="B2" s="1"/>
    </row>
    <row r="3" spans="1:69"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G3" s="7">
        <f t="shared" ref="AG3:BO3" si="0">SUBTOTAL(9,AG7:AG17)</f>
        <v>0</v>
      </c>
      <c r="AH3" s="7">
        <f t="shared" si="0"/>
        <v>0</v>
      </c>
      <c r="AI3" s="7">
        <f t="shared" si="0"/>
        <v>0</v>
      </c>
      <c r="AJ3" s="7">
        <f t="shared" si="0"/>
        <v>0</v>
      </c>
      <c r="AK3" s="7">
        <f t="shared" si="0"/>
        <v>0</v>
      </c>
      <c r="AL3" s="7">
        <f t="shared" si="0"/>
        <v>0</v>
      </c>
      <c r="AM3" s="7">
        <f t="shared" si="0"/>
        <v>0</v>
      </c>
      <c r="AN3" s="7">
        <f t="shared" si="0"/>
        <v>0</v>
      </c>
      <c r="AO3" s="7">
        <f t="shared" si="0"/>
        <v>0</v>
      </c>
      <c r="AP3" s="7">
        <f t="shared" si="0"/>
        <v>0</v>
      </c>
      <c r="AQ3" s="7">
        <f t="shared" si="0"/>
        <v>0</v>
      </c>
      <c r="AR3" s="7">
        <f t="shared" si="0"/>
        <v>0</v>
      </c>
      <c r="AS3" s="7">
        <f t="shared" si="0"/>
        <v>0</v>
      </c>
      <c r="AT3" s="7">
        <f t="shared" si="0"/>
        <v>0</v>
      </c>
      <c r="AU3" s="7">
        <f t="shared" si="0"/>
        <v>0</v>
      </c>
      <c r="AV3" s="7">
        <f t="shared" si="0"/>
        <v>0</v>
      </c>
      <c r="AW3" s="7">
        <f t="shared" si="0"/>
        <v>0</v>
      </c>
      <c r="AX3" s="7">
        <f t="shared" si="0"/>
        <v>0</v>
      </c>
      <c r="AY3" s="7">
        <f t="shared" si="0"/>
        <v>0</v>
      </c>
      <c r="AZ3" s="7">
        <f t="shared" si="0"/>
        <v>0</v>
      </c>
      <c r="BA3" s="7">
        <f t="shared" si="0"/>
        <v>0</v>
      </c>
      <c r="BB3" s="7">
        <f t="shared" si="0"/>
        <v>0</v>
      </c>
      <c r="BC3" s="7">
        <f t="shared" si="0"/>
        <v>0</v>
      </c>
      <c r="BD3" s="7">
        <f t="shared" si="0"/>
        <v>0</v>
      </c>
      <c r="BE3" s="7">
        <f t="shared" si="0"/>
        <v>0</v>
      </c>
      <c r="BF3" s="7">
        <f t="shared" si="0"/>
        <v>0</v>
      </c>
      <c r="BG3" s="7">
        <f t="shared" si="0"/>
        <v>0</v>
      </c>
      <c r="BH3" s="7">
        <f t="shared" si="0"/>
        <v>0</v>
      </c>
      <c r="BI3" s="7">
        <f t="shared" si="0"/>
        <v>0</v>
      </c>
      <c r="BJ3" s="7">
        <f t="shared" si="0"/>
        <v>0</v>
      </c>
      <c r="BK3" s="7">
        <f t="shared" si="0"/>
        <v>0</v>
      </c>
      <c r="BL3" s="7">
        <f t="shared" si="0"/>
        <v>0</v>
      </c>
      <c r="BM3" s="7">
        <f t="shared" si="0"/>
        <v>0</v>
      </c>
      <c r="BN3" s="7">
        <f t="shared" si="0"/>
        <v>0</v>
      </c>
      <c r="BO3" s="7">
        <f t="shared" si="0"/>
        <v>0</v>
      </c>
      <c r="BP3" s="7" t="e">
        <f>SUM(#REF!)</f>
        <v>#REF!</v>
      </c>
      <c r="BQ3" s="7" t="e">
        <f>SUM(#REF!)</f>
        <v>#REF!</v>
      </c>
    </row>
    <row r="4" spans="1:69" s="9" customFormat="1" ht="20.100000000000001" customHeight="1">
      <c r="A4" s="68" t="s">
        <v>0</v>
      </c>
      <c r="B4" s="68" t="s">
        <v>1</v>
      </c>
      <c r="C4" s="69" t="s">
        <v>2</v>
      </c>
      <c r="D4" s="69" t="s">
        <v>49</v>
      </c>
      <c r="E4" s="69" t="s">
        <v>3</v>
      </c>
      <c r="F4" s="69" t="s">
        <v>50</v>
      </c>
      <c r="G4" s="69" t="s">
        <v>51</v>
      </c>
      <c r="H4" s="70" t="s">
        <v>4</v>
      </c>
      <c r="I4" s="70" t="s">
        <v>53</v>
      </c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 t="s">
        <v>5</v>
      </c>
      <c r="Z4" s="70" t="s">
        <v>6</v>
      </c>
      <c r="AA4" s="71" t="s">
        <v>7</v>
      </c>
      <c r="AB4" s="72"/>
      <c r="AC4" s="72" t="s">
        <v>8</v>
      </c>
      <c r="AD4" s="72"/>
      <c r="AE4" s="72" t="s">
        <v>9</v>
      </c>
      <c r="AF4" s="72"/>
      <c r="AG4" s="65" t="s">
        <v>10</v>
      </c>
      <c r="AH4" s="8"/>
      <c r="AJ4" s="10" t="s">
        <v>11</v>
      </c>
    </row>
    <row r="5" spans="1:69" s="9" customFormat="1" ht="20.100000000000001" customHeight="1">
      <c r="A5" s="68"/>
      <c r="B5" s="68"/>
      <c r="C5" s="69"/>
      <c r="D5" s="69"/>
      <c r="E5" s="69"/>
      <c r="F5" s="69"/>
      <c r="G5" s="69"/>
      <c r="H5" s="70"/>
      <c r="I5" s="40" t="s">
        <v>60</v>
      </c>
      <c r="J5" s="40" t="s">
        <v>61</v>
      </c>
      <c r="K5" s="40" t="s">
        <v>62</v>
      </c>
      <c r="L5" s="40" t="s">
        <v>63</v>
      </c>
      <c r="M5" s="40" t="s">
        <v>64</v>
      </c>
      <c r="N5" s="40" t="s">
        <v>65</v>
      </c>
      <c r="O5" s="40" t="s">
        <v>66</v>
      </c>
      <c r="P5" s="40" t="s">
        <v>67</v>
      </c>
      <c r="Q5" s="40" t="s">
        <v>69</v>
      </c>
      <c r="R5" s="40" t="s">
        <v>70</v>
      </c>
      <c r="S5" s="40" t="s">
        <v>72</v>
      </c>
      <c r="T5" s="40"/>
      <c r="U5" s="40"/>
      <c r="V5" s="40"/>
      <c r="W5" s="40"/>
      <c r="X5" s="40"/>
      <c r="Y5" s="70"/>
      <c r="Z5" s="70"/>
      <c r="AA5" s="38"/>
      <c r="AB5" s="30"/>
      <c r="AC5" s="30"/>
      <c r="AD5" s="30"/>
      <c r="AE5" s="30"/>
      <c r="AF5" s="30"/>
      <c r="AG5" s="66"/>
      <c r="AH5" s="8"/>
      <c r="AJ5" s="10"/>
    </row>
    <row r="6" spans="1:69" s="9" customFormat="1" ht="20.100000000000001" customHeight="1">
      <c r="A6" s="68"/>
      <c r="B6" s="68"/>
      <c r="C6" s="69"/>
      <c r="D6" s="69"/>
      <c r="E6" s="69"/>
      <c r="F6" s="69"/>
      <c r="G6" s="69"/>
      <c r="H6" s="70"/>
      <c r="I6" s="61"/>
      <c r="J6" s="61"/>
      <c r="K6" s="61"/>
      <c r="L6" s="61"/>
      <c r="M6" s="61" t="s">
        <v>68</v>
      </c>
      <c r="N6" s="61"/>
      <c r="O6" s="59"/>
      <c r="P6" s="59"/>
      <c r="Q6" s="37"/>
      <c r="R6" s="37"/>
      <c r="S6" s="43"/>
      <c r="T6" s="43"/>
      <c r="U6" s="43"/>
      <c r="V6" s="37"/>
      <c r="W6" s="37"/>
      <c r="X6" s="37"/>
      <c r="Y6" s="70"/>
      <c r="Z6" s="70"/>
      <c r="AA6" s="38" t="s">
        <v>12</v>
      </c>
      <c r="AB6" s="11" t="s">
        <v>13</v>
      </c>
      <c r="AC6" s="11" t="s">
        <v>14</v>
      </c>
      <c r="AD6" s="11" t="s">
        <v>15</v>
      </c>
      <c r="AE6" s="11" t="s">
        <v>12</v>
      </c>
      <c r="AF6" s="11" t="s">
        <v>15</v>
      </c>
      <c r="AG6" s="67"/>
      <c r="AH6" s="8"/>
      <c r="AI6" s="12"/>
      <c r="AJ6" s="13" t="s">
        <v>16</v>
      </c>
      <c r="AK6" s="14" t="s">
        <v>17</v>
      </c>
      <c r="AL6" s="14" t="s">
        <v>18</v>
      </c>
      <c r="AM6" s="14" t="s">
        <v>19</v>
      </c>
      <c r="AN6" s="14" t="s">
        <v>20</v>
      </c>
      <c r="AO6" s="14" t="s">
        <v>21</v>
      </c>
      <c r="AP6" s="14" t="s">
        <v>22</v>
      </c>
      <c r="AQ6" s="14" t="s">
        <v>23</v>
      </c>
      <c r="AR6" s="14" t="s">
        <v>24</v>
      </c>
      <c r="AS6" s="14" t="s">
        <v>25</v>
      </c>
      <c r="AT6" s="14" t="s">
        <v>26</v>
      </c>
      <c r="AU6" s="14" t="s">
        <v>27</v>
      </c>
      <c r="AV6" s="14" t="s">
        <v>28</v>
      </c>
      <c r="AW6" s="14" t="s">
        <v>29</v>
      </c>
      <c r="AX6" s="14" t="s">
        <v>30</v>
      </c>
      <c r="AY6" s="14" t="s">
        <v>31</v>
      </c>
      <c r="AZ6" s="14" t="s">
        <v>32</v>
      </c>
      <c r="BA6" s="14" t="s">
        <v>33</v>
      </c>
      <c r="BB6" s="14" t="s">
        <v>34</v>
      </c>
      <c r="BC6" s="14" t="s">
        <v>35</v>
      </c>
      <c r="BD6" s="14" t="s">
        <v>36</v>
      </c>
      <c r="BE6" s="14" t="s">
        <v>37</v>
      </c>
      <c r="BF6" s="14" t="s">
        <v>38</v>
      </c>
      <c r="BG6" s="14" t="s">
        <v>39</v>
      </c>
      <c r="BH6" s="14" t="s">
        <v>40</v>
      </c>
      <c r="BI6" s="14" t="s">
        <v>41</v>
      </c>
      <c r="BJ6" s="14" t="s">
        <v>42</v>
      </c>
      <c r="BK6" s="14" t="s">
        <v>43</v>
      </c>
      <c r="BL6" s="14" t="s">
        <v>44</v>
      </c>
      <c r="BM6" s="14" t="s">
        <v>45</v>
      </c>
      <c r="BN6" s="14" t="s">
        <v>46</v>
      </c>
      <c r="BO6" s="14" t="s">
        <v>47</v>
      </c>
    </row>
    <row r="7" spans="1:69" s="22" customFormat="1" ht="16.5" customHeight="1">
      <c r="A7" s="15">
        <v>1</v>
      </c>
      <c r="B7" s="15" t="s">
        <v>52</v>
      </c>
      <c r="C7" s="15" t="s">
        <v>58</v>
      </c>
      <c r="D7" s="15" t="s">
        <v>55</v>
      </c>
      <c r="E7" s="15" t="s">
        <v>48</v>
      </c>
      <c r="F7" s="15">
        <v>200</v>
      </c>
      <c r="G7" s="15"/>
      <c r="H7" s="16">
        <f t="shared" ref="H7:H16" si="1">SUM(I7:X7)</f>
        <v>2200</v>
      </c>
      <c r="I7" s="44">
        <v>1200</v>
      </c>
      <c r="J7" s="44"/>
      <c r="K7" s="44"/>
      <c r="L7" s="44"/>
      <c r="M7" s="44"/>
      <c r="N7" s="44"/>
      <c r="O7" s="44"/>
      <c r="P7" s="44"/>
      <c r="Q7" s="44"/>
      <c r="R7" s="44">
        <v>1000</v>
      </c>
      <c r="S7" s="29"/>
      <c r="T7" s="29"/>
      <c r="U7" s="29"/>
      <c r="V7" s="29"/>
      <c r="W7" s="29"/>
      <c r="X7" s="29"/>
      <c r="Y7" s="17">
        <f t="shared" ref="Y7" si="2">SUM(AJ7:BO7)</f>
        <v>0</v>
      </c>
      <c r="Z7" s="18">
        <f t="shared" ref="Z7:Z13" si="3">H7-Y7</f>
        <v>2200</v>
      </c>
      <c r="AA7" s="39"/>
      <c r="AB7" s="19"/>
      <c r="AC7" s="19"/>
      <c r="AD7" s="20"/>
      <c r="AE7" s="19"/>
      <c r="AF7" s="20"/>
      <c r="AG7" s="21"/>
      <c r="AI7" s="23" t="str">
        <f t="shared" ref="AI7:AI17" si="4" xml:space="preserve"> IF(Z7=0,"완납","미납")</f>
        <v>미납</v>
      </c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</row>
    <row r="8" spans="1:69" s="22" customFormat="1" ht="16.5" customHeight="1">
      <c r="A8" s="15">
        <v>2</v>
      </c>
      <c r="B8" s="15" t="s">
        <v>52</v>
      </c>
      <c r="C8" s="15" t="s">
        <v>59</v>
      </c>
      <c r="D8" s="15" t="s">
        <v>56</v>
      </c>
      <c r="E8" s="15" t="s">
        <v>48</v>
      </c>
      <c r="F8" s="15">
        <v>200</v>
      </c>
      <c r="G8" s="15"/>
      <c r="H8" s="16">
        <f t="shared" si="1"/>
        <v>52000</v>
      </c>
      <c r="I8" s="44">
        <v>3000</v>
      </c>
      <c r="J8" s="44">
        <v>4000</v>
      </c>
      <c r="K8" s="44">
        <v>3000</v>
      </c>
      <c r="L8" s="44">
        <v>3000</v>
      </c>
      <c r="M8" s="45">
        <v>2000</v>
      </c>
      <c r="N8" s="45">
        <v>2000</v>
      </c>
      <c r="O8" s="45">
        <v>10000</v>
      </c>
      <c r="P8" s="60">
        <v>2000</v>
      </c>
      <c r="Q8" s="45">
        <v>1000</v>
      </c>
      <c r="R8" s="45">
        <v>2000</v>
      </c>
      <c r="S8" s="29">
        <v>20000</v>
      </c>
      <c r="T8" s="29"/>
      <c r="U8" s="29"/>
      <c r="V8" s="31"/>
      <c r="W8" s="31"/>
      <c r="X8" s="31"/>
      <c r="Y8" s="17">
        <f t="shared" ref="Y8:Y16" si="5">SUM(AJ8:BO8)</f>
        <v>0</v>
      </c>
      <c r="Z8" s="18">
        <f t="shared" si="3"/>
        <v>52000</v>
      </c>
      <c r="AA8" s="39"/>
      <c r="AB8" s="19"/>
      <c r="AC8" s="19"/>
      <c r="AD8" s="20"/>
      <c r="AE8" s="19"/>
      <c r="AF8" s="20"/>
      <c r="AG8" s="21"/>
      <c r="AI8" s="23" t="str">
        <f t="shared" si="4"/>
        <v>미납</v>
      </c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</row>
    <row r="9" spans="1:69" s="56" customFormat="1" ht="16.5" customHeight="1">
      <c r="A9" s="62" t="s">
        <v>57</v>
      </c>
      <c r="B9" s="63"/>
      <c r="C9" s="63"/>
      <c r="D9" s="63"/>
      <c r="E9" s="63"/>
      <c r="F9" s="63"/>
      <c r="G9" s="64"/>
      <c r="H9" s="48">
        <f t="shared" si="1"/>
        <v>54200</v>
      </c>
      <c r="I9" s="49">
        <f>SUM(I7:I8)</f>
        <v>4200</v>
      </c>
      <c r="J9" s="49">
        <f t="shared" ref="J9:S9" si="6">SUM(J7:J8)</f>
        <v>4000</v>
      </c>
      <c r="K9" s="49">
        <f t="shared" si="6"/>
        <v>3000</v>
      </c>
      <c r="L9" s="49">
        <f t="shared" si="6"/>
        <v>3000</v>
      </c>
      <c r="M9" s="49">
        <f t="shared" si="6"/>
        <v>2000</v>
      </c>
      <c r="N9" s="49">
        <f t="shared" si="6"/>
        <v>2000</v>
      </c>
      <c r="O9" s="49">
        <f t="shared" si="6"/>
        <v>10000</v>
      </c>
      <c r="P9" s="49">
        <f t="shared" si="6"/>
        <v>2000</v>
      </c>
      <c r="Q9" s="49">
        <f t="shared" si="6"/>
        <v>1000</v>
      </c>
      <c r="R9" s="49">
        <f t="shared" si="6"/>
        <v>3000</v>
      </c>
      <c r="S9" s="49">
        <f t="shared" si="6"/>
        <v>20000</v>
      </c>
      <c r="T9" s="49"/>
      <c r="U9" s="49"/>
      <c r="V9" s="49"/>
      <c r="W9" s="50"/>
      <c r="X9" s="50"/>
      <c r="Y9" s="51">
        <f t="shared" si="5"/>
        <v>0</v>
      </c>
      <c r="Z9" s="52">
        <f t="shared" si="3"/>
        <v>54200</v>
      </c>
      <c r="AA9" s="53"/>
      <c r="AB9" s="54"/>
      <c r="AC9" s="54"/>
      <c r="AD9" s="54"/>
      <c r="AE9" s="54"/>
      <c r="AF9" s="54"/>
      <c r="AG9" s="55"/>
      <c r="AI9" s="57" t="str">
        <f t="shared" si="4"/>
        <v>미납</v>
      </c>
      <c r="AJ9" s="58"/>
      <c r="AK9" s="58"/>
      <c r="AL9" s="58"/>
      <c r="AM9" s="58"/>
      <c r="AN9" s="58"/>
      <c r="AO9" s="58"/>
      <c r="AP9" s="58"/>
      <c r="AQ9" s="58"/>
      <c r="AR9" s="58"/>
      <c r="AS9" s="58"/>
      <c r="AT9" s="58"/>
      <c r="AU9" s="58"/>
      <c r="AV9" s="58"/>
      <c r="AW9" s="58"/>
      <c r="AX9" s="58"/>
      <c r="AY9" s="58"/>
      <c r="AZ9" s="58"/>
      <c r="BA9" s="58"/>
      <c r="BB9" s="58"/>
      <c r="BC9" s="58"/>
      <c r="BD9" s="58"/>
      <c r="BE9" s="58"/>
      <c r="BF9" s="58"/>
      <c r="BG9" s="58"/>
      <c r="BH9" s="58"/>
      <c r="BI9" s="58"/>
      <c r="BJ9" s="58"/>
      <c r="BK9" s="58"/>
      <c r="BL9" s="58"/>
      <c r="BM9" s="58"/>
      <c r="BN9" s="58"/>
      <c r="BO9" s="58"/>
    </row>
    <row r="10" spans="1:69" s="22" customFormat="1" ht="16.5" customHeight="1">
      <c r="A10" s="15"/>
      <c r="B10" s="15"/>
      <c r="C10" s="15"/>
      <c r="D10" s="15"/>
      <c r="E10" s="15"/>
      <c r="F10" s="15"/>
      <c r="G10" s="15"/>
      <c r="H10" s="16">
        <f t="shared" si="1"/>
        <v>0</v>
      </c>
      <c r="I10" s="44"/>
      <c r="J10" s="44"/>
      <c r="K10" s="44"/>
      <c r="L10" s="44"/>
      <c r="M10" s="45"/>
      <c r="N10" s="45"/>
      <c r="O10" s="45"/>
      <c r="P10" s="45"/>
      <c r="Q10" s="45"/>
      <c r="R10" s="45"/>
      <c r="S10" s="31"/>
      <c r="T10" s="31"/>
      <c r="U10" s="31"/>
      <c r="V10" s="31"/>
      <c r="W10" s="31"/>
      <c r="X10" s="31"/>
      <c r="Y10" s="17">
        <f t="shared" si="5"/>
        <v>0</v>
      </c>
      <c r="Z10" s="18">
        <f t="shared" si="3"/>
        <v>0</v>
      </c>
      <c r="AA10" s="39"/>
      <c r="AB10" s="19"/>
      <c r="AC10" s="19"/>
      <c r="AD10" s="20"/>
      <c r="AE10" s="19"/>
      <c r="AF10" s="20"/>
      <c r="AG10" s="25"/>
      <c r="AI10" s="23" t="str">
        <f t="shared" si="4"/>
        <v>완납</v>
      </c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</row>
    <row r="11" spans="1:69" s="22" customFormat="1" ht="16.5" customHeight="1">
      <c r="A11" s="15"/>
      <c r="B11" s="15"/>
      <c r="C11" s="15"/>
      <c r="D11" s="15"/>
      <c r="E11" s="15"/>
      <c r="F11" s="15"/>
      <c r="G11" s="15"/>
      <c r="H11" s="16">
        <f t="shared" si="1"/>
        <v>0</v>
      </c>
      <c r="I11" s="44"/>
      <c r="J11" s="44"/>
      <c r="K11" s="44"/>
      <c r="L11" s="44"/>
      <c r="M11" s="46"/>
      <c r="N11" s="46"/>
      <c r="O11" s="46"/>
      <c r="P11" s="46"/>
      <c r="Q11" s="46"/>
      <c r="R11" s="46"/>
      <c r="S11" s="17"/>
      <c r="T11" s="17"/>
      <c r="U11" s="17"/>
      <c r="V11" s="17"/>
      <c r="W11" s="17"/>
      <c r="X11" s="17"/>
      <c r="Y11" s="17">
        <f t="shared" ref="Y11" si="7">SUM(AJ11:BO11)</f>
        <v>0</v>
      </c>
      <c r="Z11" s="18">
        <f t="shared" si="3"/>
        <v>0</v>
      </c>
      <c r="AA11" s="39"/>
      <c r="AB11" s="19"/>
      <c r="AC11" s="19"/>
      <c r="AD11" s="19"/>
      <c r="AE11" s="20"/>
      <c r="AF11" s="20"/>
      <c r="AG11" s="24"/>
      <c r="AH11" s="26"/>
      <c r="AI11" s="23" t="str">
        <f t="shared" ref="AI11" si="8" xml:space="preserve"> IF(Z11=0,"완납","미납")</f>
        <v>완납</v>
      </c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</row>
    <row r="12" spans="1:69" s="22" customFormat="1" ht="16.5" customHeight="1">
      <c r="A12" s="15"/>
      <c r="B12" s="15"/>
      <c r="C12" s="15"/>
      <c r="D12" s="15"/>
      <c r="E12" s="15"/>
      <c r="F12" s="15"/>
      <c r="G12" s="15"/>
      <c r="H12" s="16">
        <f t="shared" si="1"/>
        <v>0</v>
      </c>
      <c r="I12" s="44"/>
      <c r="J12" s="44"/>
      <c r="K12" s="44"/>
      <c r="L12" s="44"/>
      <c r="M12" s="46"/>
      <c r="N12" s="46"/>
      <c r="O12" s="46"/>
      <c r="P12" s="46"/>
      <c r="Q12" s="46"/>
      <c r="R12" s="46"/>
      <c r="S12" s="17"/>
      <c r="T12" s="17"/>
      <c r="U12" s="17"/>
      <c r="V12" s="17"/>
      <c r="W12" s="17"/>
      <c r="X12" s="17"/>
      <c r="Y12" s="17">
        <f t="shared" si="5"/>
        <v>0</v>
      </c>
      <c r="Z12" s="18">
        <f t="shared" si="3"/>
        <v>0</v>
      </c>
      <c r="AA12" s="39"/>
      <c r="AB12" s="19"/>
      <c r="AC12" s="19"/>
      <c r="AD12" s="20"/>
      <c r="AE12" s="19"/>
      <c r="AF12" s="20"/>
      <c r="AG12" s="25"/>
      <c r="AH12" s="26"/>
      <c r="AI12" s="23" t="str">
        <f t="shared" si="4"/>
        <v>완납</v>
      </c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</row>
    <row r="13" spans="1:69" s="22" customFormat="1" ht="16.5" customHeight="1">
      <c r="A13" s="15"/>
      <c r="B13" s="15"/>
      <c r="C13" s="15"/>
      <c r="D13" s="15"/>
      <c r="E13" s="15"/>
      <c r="F13" s="15"/>
      <c r="G13" s="15"/>
      <c r="H13" s="16">
        <f t="shared" si="1"/>
        <v>0</v>
      </c>
      <c r="I13" s="44"/>
      <c r="J13" s="44"/>
      <c r="K13" s="44"/>
      <c r="L13" s="44"/>
      <c r="M13" s="46"/>
      <c r="N13" s="46"/>
      <c r="O13" s="46"/>
      <c r="P13" s="46"/>
      <c r="Q13" s="46"/>
      <c r="R13" s="46"/>
      <c r="S13" s="17"/>
      <c r="T13" s="17"/>
      <c r="U13" s="17"/>
      <c r="V13" s="17"/>
      <c r="W13" s="17"/>
      <c r="X13" s="17"/>
      <c r="Y13" s="17">
        <f t="shared" si="5"/>
        <v>0</v>
      </c>
      <c r="Z13" s="18">
        <f t="shared" si="3"/>
        <v>0</v>
      </c>
      <c r="AA13" s="39"/>
      <c r="AB13" s="19"/>
      <c r="AC13" s="19"/>
      <c r="AD13" s="20"/>
      <c r="AE13" s="20"/>
      <c r="AF13" s="20"/>
      <c r="AG13" s="25"/>
      <c r="AH13" s="26"/>
      <c r="AI13" s="23" t="str">
        <f t="shared" si="4"/>
        <v>완납</v>
      </c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</row>
    <row r="14" spans="1:69" s="22" customFormat="1" ht="16.5" customHeight="1">
      <c r="A14" s="15"/>
      <c r="B14" s="15"/>
      <c r="C14" s="15"/>
      <c r="D14" s="15"/>
      <c r="E14" s="15"/>
      <c r="F14" s="15"/>
      <c r="G14" s="15"/>
      <c r="H14" s="16">
        <f t="shared" si="1"/>
        <v>0</v>
      </c>
      <c r="I14" s="44"/>
      <c r="J14" s="44"/>
      <c r="K14" s="44"/>
      <c r="L14" s="44"/>
      <c r="M14" s="46"/>
      <c r="N14" s="46"/>
      <c r="O14" s="46"/>
      <c r="P14" s="46"/>
      <c r="Q14" s="46"/>
      <c r="R14" s="46"/>
      <c r="S14" s="17"/>
      <c r="T14" s="17"/>
      <c r="U14" s="17"/>
      <c r="V14" s="17"/>
      <c r="W14" s="17"/>
      <c r="X14" s="17"/>
      <c r="Y14" s="17"/>
      <c r="Z14" s="18"/>
      <c r="AA14" s="39"/>
      <c r="AB14" s="19"/>
      <c r="AC14" s="19"/>
      <c r="AD14" s="20"/>
      <c r="AE14" s="20"/>
      <c r="AF14" s="20"/>
      <c r="AG14" s="25"/>
      <c r="AH14" s="26"/>
      <c r="AI14" s="23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</row>
    <row r="15" spans="1:69" s="22" customFormat="1" ht="16.5" customHeight="1">
      <c r="A15" s="15"/>
      <c r="B15" s="15"/>
      <c r="C15" s="15"/>
      <c r="D15" s="15"/>
      <c r="E15" s="15"/>
      <c r="F15" s="15"/>
      <c r="G15" s="15"/>
      <c r="H15" s="16">
        <f t="shared" si="1"/>
        <v>0</v>
      </c>
      <c r="I15" s="44"/>
      <c r="J15" s="47"/>
      <c r="K15" s="47"/>
      <c r="L15" s="47"/>
      <c r="M15" s="46"/>
      <c r="N15" s="46"/>
      <c r="O15" s="46"/>
      <c r="P15" s="46"/>
      <c r="Q15" s="46"/>
      <c r="R15" s="46"/>
      <c r="S15" s="17"/>
      <c r="T15" s="17"/>
      <c r="U15" s="17"/>
      <c r="V15" s="17"/>
      <c r="W15" s="17"/>
      <c r="X15" s="17"/>
      <c r="Y15" s="17"/>
      <c r="Z15" s="18"/>
      <c r="AA15" s="39"/>
      <c r="AB15" s="19"/>
      <c r="AC15" s="19"/>
      <c r="AD15" s="20"/>
      <c r="AE15" s="20"/>
      <c r="AF15" s="20"/>
      <c r="AG15" s="25"/>
      <c r="AH15" s="26"/>
      <c r="AI15" s="23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</row>
    <row r="16" spans="1:69" s="22" customFormat="1" ht="16.5" customHeight="1">
      <c r="A16" s="15"/>
      <c r="B16" s="15"/>
      <c r="C16" s="15"/>
      <c r="D16" s="15"/>
      <c r="E16" s="15"/>
      <c r="F16" s="15"/>
      <c r="G16" s="15"/>
      <c r="H16" s="16">
        <f t="shared" si="1"/>
        <v>0</v>
      </c>
      <c r="I16" s="17"/>
      <c r="J16" s="17"/>
      <c r="K16" s="17"/>
      <c r="L16" s="17"/>
      <c r="M16" s="17"/>
      <c r="N16" s="29"/>
      <c r="O16" s="29"/>
      <c r="P16" s="17"/>
      <c r="Q16" s="17"/>
      <c r="R16" s="17"/>
      <c r="S16" s="17"/>
      <c r="T16" s="17"/>
      <c r="U16" s="17"/>
      <c r="V16" s="17"/>
      <c r="W16" s="17"/>
      <c r="X16" s="17"/>
      <c r="Y16" s="17">
        <f t="shared" si="5"/>
        <v>0</v>
      </c>
      <c r="Z16" s="18">
        <f>H16-Y16</f>
        <v>0</v>
      </c>
      <c r="AA16" s="39"/>
      <c r="AB16" s="19"/>
      <c r="AC16" s="19"/>
      <c r="AD16" s="19"/>
      <c r="AE16" s="28"/>
      <c r="AF16" s="28"/>
      <c r="AG16" s="25"/>
      <c r="AH16" s="26"/>
      <c r="AI16" s="23" t="str">
        <f t="shared" si="4"/>
        <v>완납</v>
      </c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</row>
    <row r="17" spans="1:67" s="22" customFormat="1" ht="16.5" customHeight="1">
      <c r="A17" s="15"/>
      <c r="B17" s="15"/>
      <c r="C17" s="15"/>
      <c r="D17" s="15"/>
      <c r="E17" s="15"/>
      <c r="F17" s="15"/>
      <c r="G17" s="15"/>
      <c r="H17" s="16"/>
      <c r="I17" s="17"/>
      <c r="J17" s="17"/>
      <c r="K17" s="17"/>
      <c r="L17" s="17"/>
      <c r="M17" s="17"/>
      <c r="N17" s="29"/>
      <c r="O17" s="29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8"/>
      <c r="AA17" s="39"/>
      <c r="AB17" s="19"/>
      <c r="AC17" s="19"/>
      <c r="AD17" s="19"/>
      <c r="AE17" s="28"/>
      <c r="AF17" s="28"/>
      <c r="AG17" s="25"/>
      <c r="AH17" s="26"/>
      <c r="AI17" s="23" t="str">
        <f t="shared" si="4"/>
        <v>완납</v>
      </c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</row>
    <row r="18" spans="1:67" s="22" customFormat="1" ht="16.5" customHeight="1">
      <c r="A18" s="15"/>
      <c r="B18" s="15"/>
      <c r="C18" s="15"/>
      <c r="D18" s="15"/>
      <c r="E18" s="15"/>
      <c r="F18" s="15"/>
      <c r="G18" s="15"/>
      <c r="H18" s="16"/>
      <c r="I18" s="17"/>
      <c r="J18" s="17"/>
      <c r="K18" s="17"/>
      <c r="L18" s="17"/>
      <c r="M18" s="17"/>
      <c r="N18" s="29"/>
      <c r="O18" s="29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8"/>
      <c r="AA18" s="32"/>
      <c r="AB18" s="32"/>
      <c r="AC18" s="32"/>
      <c r="AD18" s="32"/>
      <c r="AE18" s="33"/>
      <c r="AF18" s="33"/>
      <c r="AG18" s="34"/>
      <c r="AH18" s="26"/>
      <c r="AI18" s="35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  <c r="BH18" s="36"/>
      <c r="BI18" s="36"/>
      <c r="BJ18" s="36"/>
      <c r="BK18" s="36"/>
      <c r="BL18" s="36"/>
      <c r="BM18" s="36"/>
      <c r="BN18" s="36"/>
      <c r="BO18" s="36"/>
    </row>
    <row r="19" spans="1:67" s="22" customFormat="1" ht="16.5" customHeight="1">
      <c r="A19" s="15"/>
      <c r="B19" s="15"/>
      <c r="C19" s="15"/>
      <c r="D19" s="15"/>
      <c r="E19" s="15"/>
      <c r="F19" s="15"/>
      <c r="G19" s="15"/>
      <c r="H19" s="16"/>
      <c r="I19" s="17"/>
      <c r="J19" s="17"/>
      <c r="K19" s="17"/>
      <c r="L19" s="17"/>
      <c r="M19" s="17"/>
      <c r="N19" s="29"/>
      <c r="O19" s="29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8"/>
      <c r="AA19" s="32"/>
      <c r="AB19" s="32"/>
      <c r="AC19" s="32"/>
      <c r="AD19" s="32"/>
      <c r="AE19" s="33"/>
      <c r="AF19" s="33"/>
      <c r="AG19" s="34"/>
      <c r="AH19" s="26"/>
      <c r="AI19" s="35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  <c r="BH19" s="36"/>
      <c r="BI19" s="36"/>
      <c r="BJ19" s="36"/>
      <c r="BK19" s="36"/>
      <c r="BL19" s="36"/>
      <c r="BM19" s="36"/>
      <c r="BN19" s="36"/>
      <c r="BO19" s="36"/>
    </row>
    <row r="20" spans="1:67" s="22" customFormat="1" ht="16.5" customHeight="1">
      <c r="A20" s="15"/>
      <c r="B20" s="15"/>
      <c r="C20" s="15"/>
      <c r="D20" s="15"/>
      <c r="E20" s="15"/>
      <c r="F20" s="15"/>
      <c r="G20" s="15"/>
      <c r="H20" s="16"/>
      <c r="I20" s="17"/>
      <c r="J20" s="17"/>
      <c r="K20" s="17"/>
      <c r="L20" s="17"/>
      <c r="M20" s="17"/>
      <c r="N20" s="29"/>
      <c r="O20" s="29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8"/>
      <c r="AA20" s="32"/>
      <c r="AB20" s="32"/>
      <c r="AC20" s="32"/>
      <c r="AD20" s="32"/>
      <c r="AE20" s="33"/>
      <c r="AF20" s="33"/>
      <c r="AG20" s="34"/>
      <c r="AH20" s="26"/>
      <c r="AI20" s="35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  <c r="BH20" s="36"/>
      <c r="BI20" s="36"/>
      <c r="BJ20" s="36"/>
      <c r="BK20" s="36"/>
      <c r="BL20" s="36"/>
      <c r="BM20" s="36"/>
      <c r="BN20" s="36"/>
      <c r="BO20" s="36"/>
    </row>
    <row r="21" spans="1:67" s="22" customFormat="1" ht="16.5" customHeight="1">
      <c r="A21" s="15"/>
      <c r="B21" s="15"/>
      <c r="C21" s="15"/>
      <c r="D21" s="15"/>
      <c r="E21" s="15"/>
      <c r="F21" s="15"/>
      <c r="G21" s="15"/>
      <c r="H21" s="16"/>
      <c r="I21" s="17"/>
      <c r="J21" s="17"/>
      <c r="K21" s="17"/>
      <c r="L21" s="17"/>
      <c r="M21" s="17"/>
      <c r="N21" s="29"/>
      <c r="O21" s="29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8"/>
      <c r="AA21" s="32"/>
      <c r="AB21" s="32"/>
      <c r="AC21" s="32"/>
      <c r="AD21" s="32"/>
      <c r="AE21" s="33"/>
      <c r="AF21" s="33"/>
      <c r="AG21" s="34"/>
      <c r="AH21" s="26"/>
      <c r="AI21" s="35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  <c r="BH21" s="36"/>
      <c r="BI21" s="36"/>
      <c r="BJ21" s="36"/>
      <c r="BK21" s="36"/>
      <c r="BL21" s="36"/>
      <c r="BM21" s="36"/>
      <c r="BN21" s="36"/>
      <c r="BO21" s="36"/>
    </row>
    <row r="22" spans="1:67" s="22" customFormat="1" ht="16.5" customHeight="1">
      <c r="A22" s="15"/>
      <c r="B22" s="15"/>
      <c r="C22" s="15"/>
      <c r="D22" s="15"/>
      <c r="E22" s="15"/>
      <c r="F22" s="15"/>
      <c r="G22" s="15"/>
      <c r="H22" s="16"/>
      <c r="I22" s="17"/>
      <c r="J22" s="17"/>
      <c r="K22" s="17"/>
      <c r="L22" s="17"/>
      <c r="M22" s="17"/>
      <c r="N22" s="29"/>
      <c r="O22" s="29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8"/>
      <c r="AA22" s="32"/>
      <c r="AB22" s="32"/>
      <c r="AC22" s="32"/>
      <c r="AD22" s="32"/>
      <c r="AE22" s="33"/>
      <c r="AF22" s="33"/>
      <c r="AG22" s="34"/>
      <c r="AH22" s="26"/>
      <c r="AI22" s="35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  <c r="BH22" s="36"/>
      <c r="BI22" s="36"/>
      <c r="BJ22" s="36"/>
      <c r="BK22" s="36"/>
      <c r="BL22" s="36"/>
      <c r="BM22" s="36"/>
      <c r="BN22" s="36"/>
      <c r="BO22" s="36"/>
    </row>
    <row r="23" spans="1:67" s="22" customFormat="1" ht="16.5" customHeight="1">
      <c r="A23" s="15"/>
      <c r="B23" s="15"/>
      <c r="C23" s="15"/>
      <c r="D23" s="15"/>
      <c r="E23" s="15"/>
      <c r="F23" s="15"/>
      <c r="G23" s="15"/>
      <c r="H23" s="16"/>
      <c r="I23" s="17"/>
      <c r="J23" s="17"/>
      <c r="K23" s="17"/>
      <c r="L23" s="17"/>
      <c r="M23" s="17"/>
      <c r="N23" s="29"/>
      <c r="O23" s="29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8"/>
      <c r="AA23" s="32"/>
      <c r="AB23" s="32"/>
      <c r="AC23" s="32"/>
      <c r="AD23" s="32"/>
      <c r="AE23" s="33"/>
      <c r="AF23" s="33"/>
      <c r="AG23" s="34"/>
      <c r="AH23" s="26"/>
      <c r="AI23" s="35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  <c r="BH23" s="36"/>
      <c r="BI23" s="36"/>
      <c r="BJ23" s="36"/>
      <c r="BK23" s="36"/>
      <c r="BL23" s="36"/>
      <c r="BM23" s="36"/>
      <c r="BN23" s="36"/>
      <c r="BO23" s="36"/>
    </row>
    <row r="24" spans="1:67" s="22" customFormat="1" ht="16.5" customHeight="1">
      <c r="A24" s="15"/>
      <c r="B24" s="15"/>
      <c r="C24" s="15"/>
      <c r="D24" s="15"/>
      <c r="E24" s="15"/>
      <c r="F24" s="15"/>
      <c r="G24" s="15"/>
      <c r="H24" s="16"/>
      <c r="I24" s="17"/>
      <c r="J24" s="17"/>
      <c r="K24" s="17"/>
      <c r="L24" s="17"/>
      <c r="M24" s="17"/>
      <c r="N24" s="29"/>
      <c r="O24" s="29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8"/>
      <c r="AA24" s="32"/>
      <c r="AB24" s="32"/>
      <c r="AC24" s="32"/>
      <c r="AD24" s="32"/>
      <c r="AE24" s="33"/>
      <c r="AF24" s="33"/>
      <c r="AG24" s="34"/>
      <c r="AH24" s="26"/>
      <c r="AI24" s="35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  <c r="BH24" s="36"/>
      <c r="BI24" s="36"/>
      <c r="BJ24" s="36"/>
      <c r="BK24" s="36"/>
      <c r="BL24" s="36"/>
      <c r="BM24" s="36"/>
      <c r="BN24" s="36"/>
      <c r="BO24" s="36"/>
    </row>
    <row r="25" spans="1:67" s="22" customFormat="1" ht="16.5" customHeight="1">
      <c r="A25" s="15"/>
      <c r="B25" s="15"/>
      <c r="C25" s="15"/>
      <c r="D25" s="15"/>
      <c r="E25" s="15"/>
      <c r="F25" s="15"/>
      <c r="G25" s="15"/>
      <c r="H25" s="16"/>
      <c r="I25" s="17"/>
      <c r="J25" s="17"/>
      <c r="K25" s="17"/>
      <c r="L25" s="17"/>
      <c r="M25" s="17"/>
      <c r="N25" s="29"/>
      <c r="O25" s="29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8"/>
      <c r="AA25" s="32"/>
      <c r="AB25" s="32"/>
      <c r="AC25" s="32"/>
      <c r="AD25" s="32"/>
      <c r="AE25" s="33"/>
      <c r="AF25" s="33"/>
      <c r="AG25" s="34"/>
      <c r="AH25" s="26"/>
      <c r="AI25" s="35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  <c r="BH25" s="36"/>
      <c r="BI25" s="36"/>
      <c r="BJ25" s="36"/>
      <c r="BK25" s="36"/>
      <c r="BL25" s="36"/>
      <c r="BM25" s="36"/>
      <c r="BN25" s="36"/>
      <c r="BO25" s="36"/>
    </row>
    <row r="26" spans="1:67" s="22" customFormat="1" ht="16.5" customHeight="1">
      <c r="A26" s="15"/>
      <c r="B26" s="15"/>
      <c r="C26" s="15"/>
      <c r="D26" s="15"/>
      <c r="E26" s="15"/>
      <c r="F26" s="15"/>
      <c r="G26" s="15"/>
      <c r="H26" s="16"/>
      <c r="I26" s="17"/>
      <c r="J26" s="17"/>
      <c r="K26" s="17"/>
      <c r="L26" s="17"/>
      <c r="M26" s="17"/>
      <c r="N26" s="29"/>
      <c r="O26" s="29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8"/>
      <c r="AA26" s="32"/>
      <c r="AB26" s="32"/>
      <c r="AC26" s="32"/>
      <c r="AD26" s="32"/>
      <c r="AE26" s="33"/>
      <c r="AF26" s="33"/>
      <c r="AG26" s="34"/>
      <c r="AH26" s="26"/>
      <c r="AI26" s="35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  <c r="BH26" s="36"/>
      <c r="BI26" s="36"/>
      <c r="BJ26" s="36"/>
      <c r="BK26" s="36"/>
      <c r="BL26" s="36"/>
      <c r="BM26" s="36"/>
      <c r="BN26" s="36"/>
      <c r="BO26" s="36"/>
    </row>
    <row r="27" spans="1:67" s="22" customFormat="1" ht="16.5" customHeight="1">
      <c r="A27" s="15"/>
      <c r="B27" s="15"/>
      <c r="C27" s="15"/>
      <c r="D27" s="15"/>
      <c r="E27" s="15"/>
      <c r="F27" s="15"/>
      <c r="G27" s="15"/>
      <c r="H27" s="16"/>
      <c r="I27" s="17"/>
      <c r="J27" s="17"/>
      <c r="K27" s="17"/>
      <c r="L27" s="17"/>
      <c r="M27" s="17"/>
      <c r="N27" s="29"/>
      <c r="O27" s="29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8"/>
      <c r="AA27" s="32"/>
      <c r="AB27" s="32"/>
      <c r="AC27" s="32"/>
      <c r="AD27" s="32"/>
      <c r="AE27" s="33"/>
      <c r="AF27" s="33"/>
      <c r="AG27" s="34"/>
      <c r="AH27" s="26"/>
      <c r="AI27" s="35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  <c r="BH27" s="36"/>
      <c r="BI27" s="36"/>
      <c r="BJ27" s="36"/>
      <c r="BK27" s="36"/>
      <c r="BL27" s="36"/>
      <c r="BM27" s="36"/>
      <c r="BN27" s="36"/>
      <c r="BO27" s="36"/>
    </row>
    <row r="28" spans="1:67" s="22" customFormat="1" ht="16.5" customHeight="1">
      <c r="A28" s="15"/>
      <c r="B28" s="15"/>
      <c r="C28" s="15"/>
      <c r="D28" s="15"/>
      <c r="E28" s="15"/>
      <c r="F28" s="15"/>
      <c r="G28" s="15"/>
      <c r="H28" s="16"/>
      <c r="I28" s="17"/>
      <c r="J28" s="17"/>
      <c r="K28" s="17"/>
      <c r="L28" s="17"/>
      <c r="M28" s="17"/>
      <c r="N28" s="29"/>
      <c r="O28" s="29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8"/>
      <c r="AA28" s="32"/>
      <c r="AB28" s="32"/>
      <c r="AC28" s="32"/>
      <c r="AD28" s="32"/>
      <c r="AE28" s="33"/>
      <c r="AF28" s="33"/>
      <c r="AG28" s="34"/>
      <c r="AH28" s="26"/>
      <c r="AI28" s="35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6"/>
      <c r="BF28" s="36"/>
      <c r="BG28" s="36"/>
      <c r="BH28" s="36"/>
      <c r="BI28" s="36"/>
      <c r="BJ28" s="36"/>
      <c r="BK28" s="36"/>
      <c r="BL28" s="36"/>
      <c r="BM28" s="36"/>
      <c r="BN28" s="36"/>
      <c r="BO28" s="36"/>
    </row>
    <row r="29" spans="1:67">
      <c r="A29" s="23"/>
      <c r="B29" s="23"/>
      <c r="C29" s="41"/>
      <c r="D29" s="41"/>
      <c r="E29" s="23"/>
      <c r="F29" s="23"/>
      <c r="G29" s="23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</sheetData>
  <autoFilter ref="A6:BT6" xr:uid="{00000000-0009-0000-0000-000000000000}">
    <sortState xmlns:xlrd2="http://schemas.microsoft.com/office/spreadsheetml/2017/richdata2" ref="A9:BD35">
      <sortCondition ref="B5"/>
    </sortState>
  </autoFilter>
  <mergeCells count="16">
    <mergeCell ref="A9:G9"/>
    <mergeCell ref="AG4:AG6"/>
    <mergeCell ref="A4:A6"/>
    <mergeCell ref="B4:B6"/>
    <mergeCell ref="C4:C6"/>
    <mergeCell ref="E4:E6"/>
    <mergeCell ref="H4:H6"/>
    <mergeCell ref="I4:X4"/>
    <mergeCell ref="Y4:Y6"/>
    <mergeCell ref="Z4:Z6"/>
    <mergeCell ref="AA4:AB4"/>
    <mergeCell ref="AC4:AD4"/>
    <mergeCell ref="AE4:AF4"/>
    <mergeCell ref="D4:D6"/>
    <mergeCell ref="F4:F6"/>
    <mergeCell ref="G4:G6"/>
  </mergeCells>
  <phoneticPr fontId="3" type="noConversion"/>
  <conditionalFormatting sqref="AI7:AI28">
    <cfRule type="cellIs" dxfId="3" priority="9" stopIfTrue="1" operator="equal">
      <formula>"완납"</formula>
    </cfRule>
    <cfRule type="cellIs" dxfId="2" priority="10" stopIfTrue="1" operator="equal">
      <formula>"완납"</formula>
    </cfRule>
    <cfRule type="cellIs" dxfId="1" priority="11" stopIfTrue="1" operator="equal">
      <formula>"완납"</formula>
    </cfRule>
    <cfRule type="cellIs" dxfId="0" priority="12" stopIfTrue="1" operator="greaterThan">
      <formula>"완납"</formula>
    </cfRule>
  </conditionalFormatting>
  <pageMargins left="0" right="0" top="0" bottom="0" header="0" footer="0"/>
  <pageSetup paperSize="9" scale="7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showGridLines="0" topLeftCell="A4" workbookViewId="0">
      <selection activeCell="K16" sqref="K16"/>
    </sheetView>
  </sheetViews>
  <sheetFormatPr defaultRowHeight="15"/>
  <sheetData/>
  <phoneticPr fontId="3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동진글로벌</vt:lpstr>
      <vt:lpstr>Sheet1</vt:lpstr>
      <vt:lpstr>동진글로벌!Print_Area</vt:lpstr>
      <vt:lpstr>동진글로벌!Print_Titles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PC</cp:lastModifiedBy>
  <cp:lastPrinted>2023-03-31T03:30:51Z</cp:lastPrinted>
  <dcterms:created xsi:type="dcterms:W3CDTF">2020-01-23T07:47:10Z</dcterms:created>
  <dcterms:modified xsi:type="dcterms:W3CDTF">2025-08-12T07:42:12Z</dcterms:modified>
</cp:coreProperties>
</file>