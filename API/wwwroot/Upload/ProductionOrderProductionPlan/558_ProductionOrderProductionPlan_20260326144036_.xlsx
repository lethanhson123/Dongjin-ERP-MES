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OC\Downloads\Test PO Plan 2026\PO Quoc\"/>
    </mc:Choice>
  </mc:AlternateContent>
  <xr:revisionPtr revIDLastSave="0" documentId="13_ncr:1_{A57D0E2D-04F5-4AF3-9685-67BF852685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P7" i="1" l="1"/>
  <c r="O7" i="1"/>
  <c r="H7" i="1"/>
  <c r="L2" i="1"/>
  <c r="K2" i="1"/>
  <c r="J2" i="1"/>
  <c r="I2" i="1"/>
  <c r="H2" i="1"/>
</calcChain>
</file>

<file path=xl/sharedStrings.xml><?xml version="1.0" encoding="utf-8"?>
<sst xmlns="http://schemas.openxmlformats.org/spreadsheetml/2006/main" count="39" uniqueCount="21">
  <si>
    <t>Line</t>
  </si>
  <si>
    <t>PART NO</t>
  </si>
  <si>
    <t>PKI - 9B ENG - AWD</t>
  </si>
  <si>
    <t>42948768</t>
  </si>
  <si>
    <t>42948773</t>
  </si>
  <si>
    <t>42948769</t>
  </si>
  <si>
    <t>42948774</t>
  </si>
  <si>
    <t>42948778</t>
  </si>
  <si>
    <t>PKI - 9B ENG - FWD</t>
  </si>
  <si>
    <t>42948770</t>
  </si>
  <si>
    <t>42948771</t>
  </si>
  <si>
    <t>42948772</t>
  </si>
  <si>
    <t>42948775</t>
  </si>
  <si>
    <t>42948779</t>
  </si>
  <si>
    <t>PKI - LIH - LIH</t>
  </si>
  <si>
    <t>42948776</t>
  </si>
  <si>
    <t>42948777</t>
  </si>
  <si>
    <t>ECN</t>
  </si>
  <si>
    <t>25-1591</t>
  </si>
  <si>
    <t>25-1592</t>
  </si>
  <si>
    <t>25-1593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</si>
</sst>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[Red]\(0\)"/>
  </numFmts>
  <fonts count="5" x14ac:knownFonts="1">
    <font>
      <sz val="11"/>
      <name val="Calibri"/>
    </font>
    <font>
      <b/>
      <sz val="16"/>
      <name val="Times New Roman"/>
    </font>
    <font>
      <b/>
      <sz val="14"/>
      <color theme="1" tint="4.9989318521683403E-2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164" fontId="2" fillId="3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표준 2 8" xfId="1" xr:uid="{2B513C89-9EF3-451F-980D-D3BC3192236A}"/>
  </cellStyles>
  <dxfs count="0"/>
  <tableStyles count="1" defaultTableStyle="TableStyleMedium2" defaultPivotStyle="PivotStyleLight16">
    <tableStyle name="Invisible" pivot="0" table="0" count="0" xr9:uid="{41BC7ACA-CE80-4AD4-9354-96E4654641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3"/>
  <sheetViews>
    <sheetView tabSelected="1" workbookViewId="0">
      <selection activeCell="F23" sqref="F23"/>
    </sheetView>
  </sheetViews>
  <sheetFormatPr defaultRowHeight="15" x14ac:dyDescent="0.25"/>
  <cols>
    <col min="1" max="1" width="18.5703125" customWidth="1"/>
    <col min="2" max="3" width="15.7109375" customWidth="1"/>
    <col min="4" max="95" width="16" customWidth="1"/>
  </cols>
  <sheetData>
    <row r="1" spans="1:95" ht="20.25" x14ac:dyDescent="0.3">
      <c r="A1" s="1" t="s">
        <v>0</v>
      </c>
      <c r="B1" s="1" t="s">
        <v>1</v>
      </c>
      <c r="C1" s="1" t="s">
        <v>17</v>
      </c>
      <c r="D1" s="6">
        <v>46107</v>
      </c>
      <c r="E1" s="6">
        <v>46108</v>
      </c>
      <c r="F1" s="6">
        <v>46109</v>
      </c>
      <c r="G1" s="6">
        <v>46110</v>
      </c>
      <c r="H1" s="6">
        <v>46111</v>
      </c>
      <c r="I1" s="6">
        <v>46112</v>
      </c>
      <c r="J1" s="6">
        <v>46113</v>
      </c>
      <c r="K1" s="6">
        <v>46114</v>
      </c>
      <c r="L1" s="6">
        <v>46115</v>
      </c>
      <c r="M1" s="6">
        <v>46116</v>
      </c>
      <c r="N1" s="6">
        <v>46117</v>
      </c>
      <c r="O1" s="6">
        <v>46118</v>
      </c>
      <c r="P1" s="6">
        <v>46119</v>
      </c>
      <c r="Q1" s="6">
        <v>46120</v>
      </c>
      <c r="R1" s="6">
        <v>46121</v>
      </c>
      <c r="S1" s="6">
        <v>46122</v>
      </c>
      <c r="T1" s="6">
        <v>46123</v>
      </c>
      <c r="U1" s="6">
        <v>46124</v>
      </c>
      <c r="V1" s="6">
        <v>46125</v>
      </c>
      <c r="W1" s="6">
        <v>46126</v>
      </c>
      <c r="X1" s="6">
        <v>46127</v>
      </c>
      <c r="Y1" s="6">
        <v>46128</v>
      </c>
      <c r="Z1" s="6">
        <v>46129</v>
      </c>
      <c r="AA1" s="6">
        <v>46130</v>
      </c>
      <c r="AB1" s="6">
        <v>46131</v>
      </c>
      <c r="AC1" s="6">
        <v>46132</v>
      </c>
      <c r="AD1" s="6">
        <v>46133</v>
      </c>
      <c r="AE1" s="6">
        <v>46134</v>
      </c>
      <c r="AF1" s="6">
        <v>46135</v>
      </c>
      <c r="AG1" s="6">
        <v>46136</v>
      </c>
      <c r="AH1" s="6">
        <v>46137</v>
      </c>
      <c r="AI1" s="6">
        <v>46138</v>
      </c>
      <c r="AJ1" s="6">
        <v>46139</v>
      </c>
      <c r="AK1" s="6">
        <v>46140</v>
      </c>
      <c r="AL1" s="6">
        <v>46141</v>
      </c>
      <c r="AM1" s="6">
        <v>46142</v>
      </c>
      <c r="AN1" s="6">
        <v>46143</v>
      </c>
      <c r="AO1" s="6">
        <v>46144</v>
      </c>
      <c r="AP1" s="6">
        <v>46145</v>
      </c>
      <c r="AQ1" s="6">
        <v>46146</v>
      </c>
      <c r="AR1" s="6">
        <v>46147</v>
      </c>
      <c r="AS1" s="6">
        <v>46148</v>
      </c>
      <c r="AT1" s="6">
        <v>46149</v>
      </c>
      <c r="AU1" s="6">
        <v>46150</v>
      </c>
      <c r="AV1" s="6">
        <v>46151</v>
      </c>
      <c r="AW1" s="6">
        <v>46152</v>
      </c>
      <c r="AX1" s="6">
        <v>46153</v>
      </c>
      <c r="AY1" s="6">
        <v>46154</v>
      </c>
      <c r="AZ1" s="6">
        <v>46155</v>
      </c>
      <c r="BA1" s="6">
        <v>46156</v>
      </c>
      <c r="BB1" s="6">
        <v>46157</v>
      </c>
      <c r="BC1" s="6">
        <v>46158</v>
      </c>
      <c r="BD1" s="6">
        <v>46159</v>
      </c>
      <c r="BE1" s="6">
        <v>46160</v>
      </c>
      <c r="BF1" s="6">
        <v>46161</v>
      </c>
      <c r="BG1" s="6">
        <v>46162</v>
      </c>
      <c r="BH1" s="6">
        <v>46163</v>
      </c>
      <c r="BI1" s="6">
        <v>46164</v>
      </c>
      <c r="BJ1" s="6">
        <v>46165</v>
      </c>
      <c r="BK1" s="6">
        <v>46166</v>
      </c>
      <c r="BL1" s="6">
        <v>46167</v>
      </c>
      <c r="BM1" s="6">
        <v>46168</v>
      </c>
      <c r="BN1" s="6">
        <v>46169</v>
      </c>
      <c r="BO1" s="6">
        <v>46170</v>
      </c>
      <c r="BP1" s="6">
        <v>46171</v>
      </c>
      <c r="BQ1" s="6">
        <v>46172</v>
      </c>
      <c r="BR1" s="6">
        <v>46173</v>
      </c>
      <c r="BS1" s="6">
        <v>46174</v>
      </c>
      <c r="BT1" s="6">
        <v>46175</v>
      </c>
      <c r="BU1" s="6">
        <v>46176</v>
      </c>
      <c r="BV1" s="6">
        <v>46177</v>
      </c>
      <c r="BW1" s="6">
        <v>46178</v>
      </c>
      <c r="BX1" s="6">
        <v>46179</v>
      </c>
      <c r="BY1" s="6">
        <v>46180</v>
      </c>
      <c r="BZ1" s="6">
        <v>46181</v>
      </c>
      <c r="CA1" s="6">
        <v>46182</v>
      </c>
      <c r="CB1" s="6">
        <v>46183</v>
      </c>
      <c r="CC1" s="6">
        <v>46184</v>
      </c>
      <c r="CD1" s="6">
        <v>46185</v>
      </c>
      <c r="CE1" s="6">
        <v>46186</v>
      </c>
      <c r="CF1" s="6">
        <v>46187</v>
      </c>
      <c r="CG1" s="6">
        <v>46188</v>
      </c>
      <c r="CH1" s="6">
        <v>46189</v>
      </c>
      <c r="CI1" s="6">
        <v>46190</v>
      </c>
      <c r="CJ1" s="6">
        <v>46191</v>
      </c>
      <c r="CK1" s="6">
        <v>46192</v>
      </c>
      <c r="CL1" s="6">
        <v>46193</v>
      </c>
      <c r="CM1" s="6">
        <v>46194</v>
      </c>
      <c r="CN1" s="6">
        <v>46195</v>
      </c>
      <c r="CO1" s="6">
        <v>46196</v>
      </c>
      <c r="CP1" s="6">
        <v>46197</v>
      </c>
      <c r="CQ1" s="6">
        <v>46198</v>
      </c>
    </row>
    <row r="2" spans="1:95" ht="18" x14ac:dyDescent="0.25">
      <c r="A2" s="2" t="s">
        <v>2</v>
      </c>
      <c r="B2" s="3" t="s">
        <v>3</v>
      </c>
      <c r="C2" s="8" t="s">
        <v>18</v>
      </c>
      <c r="D2" s="4">
        <v>180</v>
      </c>
      <c r="E2" s="4">
        <v>340</v>
      </c>
      <c r="F2" s="4">
        <v>180</v>
      </c>
      <c r="G2" s="4">
        <v>150</v>
      </c>
      <c r="H2" s="4">
        <f>360-144+20</f>
        <v>236</v>
      </c>
      <c r="I2" s="4">
        <f>360-108+20</f>
        <v>272</v>
      </c>
      <c r="J2" s="4">
        <f>360-72+8</f>
        <v>296</v>
      </c>
      <c r="K2" s="4">
        <f>360-72</f>
        <v>288</v>
      </c>
      <c r="L2" s="4">
        <f>20+360</f>
        <v>380</v>
      </c>
      <c r="M2" s="4">
        <v>324</v>
      </c>
      <c r="N2" s="4">
        <v>220</v>
      </c>
      <c r="O2" s="4">
        <v>324</v>
      </c>
      <c r="P2" s="4">
        <v>324</v>
      </c>
      <c r="Q2" s="4">
        <v>324</v>
      </c>
      <c r="R2" s="4">
        <v>324</v>
      </c>
      <c r="S2" s="4">
        <v>324</v>
      </c>
      <c r="T2" s="4">
        <v>324</v>
      </c>
      <c r="U2" s="4">
        <v>220</v>
      </c>
      <c r="V2" s="4">
        <v>220</v>
      </c>
      <c r="W2" s="4">
        <v>220</v>
      </c>
      <c r="X2" s="4">
        <v>220</v>
      </c>
      <c r="Y2" s="4">
        <v>220</v>
      </c>
      <c r="Z2" s="4">
        <v>220</v>
      </c>
      <c r="AA2" s="4">
        <v>324</v>
      </c>
      <c r="AB2" s="4">
        <v>220</v>
      </c>
      <c r="AC2" s="3"/>
      <c r="AD2" s="3"/>
      <c r="AE2" s="3"/>
      <c r="AF2" s="3"/>
      <c r="AG2" s="3"/>
      <c r="AH2" s="3"/>
      <c r="AI2" s="3"/>
      <c r="AJ2" s="3"/>
      <c r="AK2" s="3"/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</row>
    <row r="3" spans="1:95" ht="18" x14ac:dyDescent="0.25">
      <c r="A3" s="2" t="s">
        <v>2</v>
      </c>
      <c r="B3" s="3" t="s">
        <v>4</v>
      </c>
      <c r="C3" s="8" t="s">
        <v>18</v>
      </c>
      <c r="D3" s="3"/>
      <c r="E3" s="3"/>
      <c r="F3" s="3"/>
      <c r="G3" s="3"/>
      <c r="H3" s="3"/>
      <c r="I3" s="4">
        <v>72</v>
      </c>
      <c r="J3" s="4">
        <v>72</v>
      </c>
      <c r="K3" s="4">
        <v>72</v>
      </c>
      <c r="L3" s="4"/>
      <c r="M3" s="4"/>
      <c r="N3" s="4"/>
      <c r="O3" s="4"/>
      <c r="P3" s="4"/>
      <c r="Q3" s="4">
        <v>36</v>
      </c>
      <c r="R3" s="4">
        <v>72</v>
      </c>
      <c r="S3" s="4">
        <v>72</v>
      </c>
      <c r="T3" s="4"/>
      <c r="U3" s="4"/>
      <c r="V3" s="4"/>
      <c r="W3" s="4"/>
      <c r="X3" s="4">
        <v>72</v>
      </c>
      <c r="Y3" s="4">
        <v>72</v>
      </c>
      <c r="Z3" s="4">
        <v>72</v>
      </c>
      <c r="AA3" s="4"/>
      <c r="AB3" s="4"/>
      <c r="AC3" s="3"/>
      <c r="AD3" s="3"/>
      <c r="AE3" s="3"/>
      <c r="AF3" s="3"/>
      <c r="AG3" s="3"/>
      <c r="AH3" s="3"/>
      <c r="AI3" s="3"/>
      <c r="AJ3" s="3"/>
      <c r="AK3" s="3"/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</row>
    <row r="4" spans="1:95" ht="18" x14ac:dyDescent="0.25">
      <c r="A4" s="2" t="s">
        <v>2</v>
      </c>
      <c r="B4" s="3" t="s">
        <v>5</v>
      </c>
      <c r="C4" s="8" t="s">
        <v>18</v>
      </c>
      <c r="D4" s="3"/>
      <c r="E4" s="3"/>
      <c r="F4" s="3"/>
      <c r="G4" s="3"/>
      <c r="H4" s="4"/>
      <c r="I4" s="4">
        <v>36</v>
      </c>
      <c r="J4" s="4"/>
      <c r="K4" s="4"/>
      <c r="L4" s="4"/>
      <c r="M4" s="4"/>
      <c r="N4" s="4"/>
      <c r="O4" s="4"/>
      <c r="P4" s="4"/>
      <c r="Q4" s="4">
        <v>36</v>
      </c>
      <c r="R4" s="4"/>
      <c r="S4" s="4"/>
      <c r="T4" s="4"/>
      <c r="U4" s="4"/>
      <c r="V4" s="4">
        <v>36</v>
      </c>
      <c r="W4" s="4"/>
      <c r="X4" s="4"/>
      <c r="Y4" s="4"/>
      <c r="Z4" s="4"/>
      <c r="AA4" s="4"/>
      <c r="AB4" s="4"/>
      <c r="AC4" s="3"/>
      <c r="AD4" s="3"/>
      <c r="AE4" s="3"/>
      <c r="AF4" s="3"/>
      <c r="AG4" s="3"/>
      <c r="AH4" s="3"/>
      <c r="AI4" s="3"/>
      <c r="AJ4" s="3"/>
      <c r="AK4" s="3"/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</row>
    <row r="5" spans="1:95" ht="18" x14ac:dyDescent="0.25">
      <c r="A5" s="2" t="s">
        <v>2</v>
      </c>
      <c r="B5" s="3" t="s">
        <v>6</v>
      </c>
      <c r="C5" s="10" t="s">
        <v>18</v>
      </c>
      <c r="D5" s="3"/>
      <c r="E5" s="3"/>
      <c r="F5" s="3"/>
      <c r="G5" s="3"/>
      <c r="H5" s="4">
        <v>144</v>
      </c>
      <c r="I5" s="4"/>
      <c r="J5" s="4"/>
      <c r="K5" s="4"/>
      <c r="L5" s="4"/>
      <c r="M5" s="4"/>
      <c r="N5" s="4"/>
      <c r="O5" s="4">
        <v>72</v>
      </c>
      <c r="P5" s="4">
        <v>72</v>
      </c>
      <c r="Q5" s="4"/>
      <c r="R5" s="4"/>
      <c r="S5" s="4"/>
      <c r="T5" s="4"/>
      <c r="U5" s="4"/>
      <c r="V5" s="4">
        <v>36</v>
      </c>
      <c r="W5" s="4">
        <v>108</v>
      </c>
      <c r="X5" s="4">
        <v>36</v>
      </c>
      <c r="Y5" s="4"/>
      <c r="Z5" s="4"/>
      <c r="AA5" s="4"/>
      <c r="AB5" s="4"/>
      <c r="AC5" s="3"/>
      <c r="AD5" s="3"/>
      <c r="AE5" s="3"/>
      <c r="AF5" s="3"/>
      <c r="AG5" s="3"/>
      <c r="AH5" s="3"/>
      <c r="AI5" s="3"/>
      <c r="AJ5" s="3"/>
      <c r="AK5" s="3"/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</row>
    <row r="6" spans="1:95" ht="18" x14ac:dyDescent="0.25">
      <c r="A6" s="2" t="s">
        <v>2</v>
      </c>
      <c r="B6" s="3" t="s">
        <v>7</v>
      </c>
      <c r="C6" s="9" t="s">
        <v>18</v>
      </c>
      <c r="D6" s="3"/>
      <c r="E6" s="3"/>
      <c r="F6" s="3"/>
      <c r="G6" s="3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36</v>
      </c>
      <c r="W6" s="5"/>
      <c r="X6" s="5"/>
      <c r="Y6" s="5"/>
      <c r="Z6" s="5"/>
      <c r="AA6" s="5"/>
      <c r="AB6" s="5"/>
      <c r="AC6" s="3"/>
      <c r="AD6" s="3"/>
      <c r="AE6" s="3"/>
      <c r="AF6" s="3"/>
      <c r="AG6" s="3"/>
      <c r="AH6" s="3"/>
      <c r="AI6" s="3"/>
      <c r="AJ6" s="3"/>
      <c r="AK6" s="3"/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</row>
    <row r="7" spans="1:95" ht="18" x14ac:dyDescent="0.25">
      <c r="A7" s="2" t="s">
        <v>8</v>
      </c>
      <c r="B7" s="3" t="s">
        <v>9</v>
      </c>
      <c r="C7" s="8" t="s">
        <v>19</v>
      </c>
      <c r="D7" s="4">
        <v>240</v>
      </c>
      <c r="E7" s="4">
        <v>180</v>
      </c>
      <c r="F7" s="4">
        <v>240</v>
      </c>
      <c r="G7" s="4">
        <v>180</v>
      </c>
      <c r="H7" s="4">
        <f>360-36</f>
        <v>324</v>
      </c>
      <c r="I7" s="4">
        <v>324</v>
      </c>
      <c r="J7" s="4">
        <v>360</v>
      </c>
      <c r="K7" s="4">
        <v>324</v>
      </c>
      <c r="L7" s="4">
        <v>360</v>
      </c>
      <c r="M7" s="4">
        <v>324</v>
      </c>
      <c r="N7" s="4">
        <v>0</v>
      </c>
      <c r="O7" s="4">
        <f>324-36</f>
        <v>288</v>
      </c>
      <c r="P7" s="4">
        <f>324-36</f>
        <v>288</v>
      </c>
      <c r="Q7" s="4">
        <v>324</v>
      </c>
      <c r="R7" s="4">
        <v>324</v>
      </c>
      <c r="S7" s="4">
        <v>324</v>
      </c>
      <c r="T7" s="4">
        <v>324</v>
      </c>
      <c r="U7" s="4"/>
      <c r="V7" s="4">
        <v>324</v>
      </c>
      <c r="W7" s="4">
        <v>288</v>
      </c>
      <c r="X7" s="4">
        <v>324</v>
      </c>
      <c r="Y7" s="4">
        <v>324</v>
      </c>
      <c r="Z7" s="4">
        <v>324</v>
      </c>
      <c r="AA7" s="4">
        <v>324</v>
      </c>
      <c r="AB7" s="4">
        <v>0</v>
      </c>
      <c r="AC7" s="3"/>
      <c r="AD7" s="3"/>
      <c r="AE7" s="3"/>
      <c r="AF7" s="3"/>
      <c r="AG7" s="3"/>
      <c r="AH7" s="3"/>
      <c r="AI7" s="3"/>
      <c r="AJ7" s="3"/>
      <c r="AK7" s="3"/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</row>
    <row r="8" spans="1:95" ht="15.75" x14ac:dyDescent="0.25">
      <c r="A8" s="2" t="s">
        <v>8</v>
      </c>
      <c r="B8" s="3" t="s">
        <v>10</v>
      </c>
      <c r="C8" s="10" t="s">
        <v>19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</row>
    <row r="9" spans="1:95" ht="15.75" x14ac:dyDescent="0.25">
      <c r="A9" s="2" t="s">
        <v>8</v>
      </c>
      <c r="B9" s="3" t="s">
        <v>11</v>
      </c>
      <c r="C9" s="8" t="s">
        <v>19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</row>
    <row r="10" spans="1:95" ht="18" x14ac:dyDescent="0.25">
      <c r="A10" s="2" t="s">
        <v>8</v>
      </c>
      <c r="B10" s="3" t="s">
        <v>12</v>
      </c>
      <c r="C10" s="8" t="s">
        <v>19</v>
      </c>
      <c r="D10" s="3"/>
      <c r="E10" s="3"/>
      <c r="F10" s="3"/>
      <c r="G10" s="3"/>
      <c r="H10" s="4"/>
      <c r="I10" s="4"/>
      <c r="J10" s="4"/>
      <c r="K10" s="4"/>
      <c r="L10" s="4"/>
      <c r="M10" s="4"/>
      <c r="N10" s="4"/>
      <c r="O10" s="4">
        <v>36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"/>
      <c r="AD10" s="3"/>
      <c r="AE10" s="3"/>
      <c r="AF10" s="3"/>
      <c r="AG10" s="3"/>
      <c r="AH10" s="3"/>
      <c r="AI10" s="3"/>
      <c r="AJ10" s="3"/>
      <c r="AK10" s="3"/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</row>
    <row r="11" spans="1:95" ht="18" x14ac:dyDescent="0.25">
      <c r="A11" s="2" t="s">
        <v>8</v>
      </c>
      <c r="B11" s="3" t="s">
        <v>13</v>
      </c>
      <c r="C11" s="10" t="s">
        <v>19</v>
      </c>
      <c r="D11" s="3"/>
      <c r="E11" s="3"/>
      <c r="F11" s="3"/>
      <c r="G11" s="3"/>
      <c r="H11" s="4">
        <v>36</v>
      </c>
      <c r="I11" s="4"/>
      <c r="J11" s="4"/>
      <c r="K11" s="4"/>
      <c r="L11" s="4"/>
      <c r="M11" s="4"/>
      <c r="N11" s="4"/>
      <c r="O11" s="4"/>
      <c r="P11" s="4">
        <v>36</v>
      </c>
      <c r="Q11" s="4"/>
      <c r="R11" s="4"/>
      <c r="S11" s="4"/>
      <c r="T11" s="4"/>
      <c r="U11" s="4"/>
      <c r="V11" s="4"/>
      <c r="W11" s="4">
        <v>36</v>
      </c>
      <c r="X11" s="4"/>
      <c r="Y11" s="4"/>
      <c r="Z11" s="4"/>
      <c r="AA11" s="4"/>
      <c r="AB11" s="4"/>
      <c r="AC11" s="3"/>
      <c r="AD11" s="3"/>
      <c r="AE11" s="3"/>
      <c r="AF11" s="3"/>
      <c r="AG11" s="3"/>
      <c r="AH11" s="3"/>
      <c r="AI11" s="3"/>
      <c r="AJ11" s="3"/>
      <c r="AK11" s="3"/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</row>
    <row r="12" spans="1:95" ht="18" x14ac:dyDescent="0.25">
      <c r="A12" s="3" t="s">
        <v>14</v>
      </c>
      <c r="B12" s="3" t="s">
        <v>15</v>
      </c>
      <c r="C12" s="8" t="s">
        <v>20</v>
      </c>
      <c r="D12" s="7">
        <v>140</v>
      </c>
      <c r="E12" s="7">
        <v>140</v>
      </c>
      <c r="F12" s="4">
        <v>60</v>
      </c>
      <c r="G12" s="4">
        <v>50</v>
      </c>
      <c r="H12" s="4">
        <v>200</v>
      </c>
      <c r="I12" s="4">
        <v>200</v>
      </c>
      <c r="J12" s="4">
        <v>200</v>
      </c>
      <c r="K12" s="4">
        <v>200</v>
      </c>
      <c r="L12" s="4">
        <v>200</v>
      </c>
      <c r="M12" s="4">
        <v>200</v>
      </c>
      <c r="N12" s="4"/>
      <c r="O12" s="4">
        <v>200</v>
      </c>
      <c r="P12" s="4">
        <v>200</v>
      </c>
      <c r="Q12" s="4">
        <v>200</v>
      </c>
      <c r="R12" s="4">
        <v>200</v>
      </c>
      <c r="S12" s="4">
        <v>200</v>
      </c>
      <c r="T12" s="4">
        <v>150</v>
      </c>
      <c r="U12" s="4"/>
      <c r="V12" s="4">
        <v>150</v>
      </c>
      <c r="W12" s="4">
        <v>150</v>
      </c>
      <c r="X12" s="4">
        <v>150</v>
      </c>
      <c r="Y12" s="4">
        <v>150</v>
      </c>
      <c r="Z12" s="4">
        <v>150</v>
      </c>
      <c r="AA12" s="4">
        <v>150</v>
      </c>
      <c r="AB12" s="4"/>
      <c r="AC12" s="3"/>
      <c r="AD12" s="3"/>
      <c r="AE12" s="3"/>
      <c r="AF12" s="3"/>
      <c r="AG12" s="3"/>
      <c r="AH12" s="3"/>
      <c r="AI12" s="3"/>
      <c r="AJ12" s="3"/>
      <c r="AK12" s="3"/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</row>
    <row r="13" spans="1:95" ht="15.75" x14ac:dyDescent="0.25">
      <c r="A13" s="3" t="s">
        <v>14</v>
      </c>
      <c r="B13" s="3" t="s">
        <v>16</v>
      </c>
      <c r="C13" s="10" t="s">
        <v>20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Bach Quoc</cp:lastModifiedBy>
  <dcterms:modified xsi:type="dcterms:W3CDTF">2026-03-26T01:18:55Z</dcterms:modified>
</cp:coreProperties>
</file>