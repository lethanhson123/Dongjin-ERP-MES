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0BF76D5D-81D6-4747-B8F2-4173EC26C324}" xr6:coauthVersionLast="47" xr6:coauthVersionMax="47" xr10:uidLastSave="{00000000-0000-0000-0000-000000000000}"/>
  <bookViews>
    <workbookView xWindow="28680" yWindow="-120" windowWidth="29040" windowHeight="15840" xr2:uid="{E1ADB90E-50C6-4051-9385-0767DC3C2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6" i="1" l="1"/>
  <c r="E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85" i="1" s="1"/>
  <c r="H3" i="1"/>
</calcChain>
</file>

<file path=xl/sharedStrings.xml><?xml version="1.0" encoding="utf-8"?>
<sst xmlns="http://schemas.openxmlformats.org/spreadsheetml/2006/main" count="422" uniqueCount="110">
  <si>
    <t>NO</t>
    <phoneticPr fontId="1" type="noConversion"/>
  </si>
  <si>
    <t>PART NAME</t>
    <phoneticPr fontId="1" type="noConversion"/>
  </si>
  <si>
    <t>PART NUMBER</t>
    <phoneticPr fontId="1" type="noConversion"/>
  </si>
  <si>
    <t>PROJECT</t>
    <phoneticPr fontId="1" type="noConversion"/>
  </si>
  <si>
    <t>Q'TY</t>
    <phoneticPr fontId="1" type="noConversion"/>
  </si>
  <si>
    <t>UNIT</t>
    <phoneticPr fontId="1" type="noConversion"/>
  </si>
  <si>
    <t>UNIT PRICE</t>
    <phoneticPr fontId="1" type="noConversion"/>
  </si>
  <si>
    <t>AMOUNT</t>
    <phoneticPr fontId="1" type="noConversion"/>
  </si>
  <si>
    <t>ORIGIN/MADE IN</t>
    <phoneticPr fontId="1" type="noConversion"/>
  </si>
  <si>
    <t>CONNECTOR</t>
  </si>
  <si>
    <t>MG645605</t>
  </si>
  <si>
    <t>MV/ME</t>
  </si>
  <si>
    <t>EA</t>
  </si>
  <si>
    <t>KR</t>
    <phoneticPr fontId="1" type="noConversion"/>
  </si>
  <si>
    <t>MG651032</t>
  </si>
  <si>
    <t>MG653026</t>
  </si>
  <si>
    <t>CL6424-0049-2</t>
  </si>
  <si>
    <t>CL6432-0021-8</t>
  </si>
  <si>
    <t>CL6439-0011-9</t>
  </si>
  <si>
    <t>MG655608</t>
  </si>
  <si>
    <t>MG645610</t>
  </si>
  <si>
    <t>MG622937</t>
  </si>
  <si>
    <t>MG652987</t>
  </si>
  <si>
    <t>NQ5a PE HEV</t>
  </si>
  <si>
    <t>KH2000062-20</t>
  </si>
  <si>
    <t>NQ5e PE</t>
  </si>
  <si>
    <t>MG642581-5</t>
  </si>
  <si>
    <t>U100</t>
  </si>
  <si>
    <t>MG652582-5</t>
  </si>
  <si>
    <t>MG681114</t>
  </si>
  <si>
    <t>CL6405-0009-0</t>
  </si>
  <si>
    <t>TERMINAL</t>
  </si>
  <si>
    <t>ST741332-3</t>
  </si>
  <si>
    <t>ST730960-3</t>
  </si>
  <si>
    <t>CL6431-0013-3</t>
  </si>
  <si>
    <t>CL6431-0022-4-000</t>
  </si>
  <si>
    <t>CL6431-0007-0</t>
  </si>
  <si>
    <t>CL6432-0022-0-001</t>
  </si>
  <si>
    <t>CL6431-0011-8</t>
  </si>
  <si>
    <t>ST731053-3</t>
  </si>
  <si>
    <t>KH2000016-21</t>
  </si>
  <si>
    <t>ST710966-3</t>
  </si>
  <si>
    <t>ST760320-1</t>
  </si>
  <si>
    <t>CL6405-0015-2</t>
  </si>
  <si>
    <t>BAND CABLE-A5(B)</t>
  </si>
  <si>
    <t>GB080-01020</t>
  </si>
  <si>
    <t>BAND CABLE-A(GY)</t>
  </si>
  <si>
    <t>KPP011-99010</t>
  </si>
  <si>
    <t>EMERHENCY RELEASE CABLE</t>
  </si>
  <si>
    <t>CLIP</t>
  </si>
  <si>
    <t>MG634834-5</t>
  </si>
  <si>
    <t>GB080-02150</t>
  </si>
  <si>
    <t>SEAL</t>
  </si>
  <si>
    <t>MG685390</t>
  </si>
  <si>
    <t>CL6426-0060-8</t>
  </si>
  <si>
    <t>CABLE TIE</t>
  </si>
  <si>
    <t>111-01747</t>
  </si>
  <si>
    <t>TEMP SENSOR</t>
  </si>
  <si>
    <t>EP5F103N4-KP13-R</t>
  </si>
  <si>
    <t>EP5F103N4-KP13-L</t>
  </si>
  <si>
    <t>HEAT SHRINK TUBE</t>
  </si>
  <si>
    <t>SSA024050</t>
  </si>
  <si>
    <t>CORRUGATE TUBE</t>
  </si>
  <si>
    <t>C19OR</t>
  </si>
  <si>
    <t>M</t>
  </si>
  <si>
    <t>C12OR</t>
  </si>
  <si>
    <t>VYNIL TUBE</t>
  </si>
  <si>
    <t>VYNILTUBE003B</t>
  </si>
  <si>
    <t>CS PAD</t>
  </si>
  <si>
    <t>30*45</t>
  </si>
  <si>
    <t>30*95</t>
  </si>
  <si>
    <t>50*65</t>
  </si>
  <si>
    <t>50*30</t>
  </si>
  <si>
    <t>30*30</t>
  </si>
  <si>
    <t>30*105</t>
  </si>
  <si>
    <t>30*320</t>
  </si>
  <si>
    <t>30*330</t>
  </si>
  <si>
    <t>30*380</t>
  </si>
  <si>
    <t>50*20</t>
  </si>
  <si>
    <t>50*235</t>
  </si>
  <si>
    <t>50*265</t>
  </si>
  <si>
    <t>50*300</t>
  </si>
  <si>
    <t>50*360</t>
  </si>
  <si>
    <t>50*445</t>
  </si>
  <si>
    <t>50*460</t>
  </si>
  <si>
    <t>30*500</t>
  </si>
  <si>
    <t>30*510</t>
  </si>
  <si>
    <t>30*555</t>
  </si>
  <si>
    <t>30*590</t>
  </si>
  <si>
    <t>50*60</t>
  </si>
  <si>
    <t>30*310</t>
  </si>
  <si>
    <t>30*395</t>
  </si>
  <si>
    <t>ELECTRIC WIRE</t>
  </si>
  <si>
    <t>AVSS03GB</t>
  </si>
  <si>
    <t>AVSS03W</t>
  </si>
  <si>
    <t>AVSS05B</t>
  </si>
  <si>
    <t>AVSS05Y</t>
  </si>
  <si>
    <t>FLRYA035B</t>
  </si>
  <si>
    <t>AU2</t>
  </si>
  <si>
    <t>FLRYA035Br</t>
  </si>
  <si>
    <t>FLRYA035L</t>
  </si>
  <si>
    <t>FLRYA035Y</t>
  </si>
  <si>
    <t>FLRYA035O</t>
  </si>
  <si>
    <t>AVSS03WR</t>
  </si>
  <si>
    <t>AVSS03BW</t>
  </si>
  <si>
    <t>AVSS03O</t>
  </si>
  <si>
    <t>TOTAL</t>
    <phoneticPr fontId="1" type="noConversion"/>
  </si>
  <si>
    <t>EA</t>
    <phoneticPr fontId="1" type="noConversion"/>
  </si>
  <si>
    <t>M</t>
    <phoneticPr fontId="1" type="noConversion"/>
  </si>
  <si>
    <t>Details of DJC20250829-261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</si>
</sst>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5" formatCode="_-[$$-409]* #,##0.000_ ;_-[$$-409]* \-#,##0.000\ ;_-[$$-409]* &quot;-&quot;??_ ;_-@_ "/>
  </numFmts>
  <fonts count="7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3"/>
      <charset val="129"/>
      <scheme val="minor"/>
    </font>
    <font>
      <sz val="10"/>
      <color theme="1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41" fontId="5" fillId="0" borderId="1" xfId="1" applyFont="1" applyBorder="1" applyAlignment="1" applyProtection="1">
      <alignment vertical="center"/>
      <protection locked="0"/>
    </xf>
    <xf numFmtId="165" fontId="5" fillId="0" borderId="1" xfId="0" applyNumberFormat="1" applyFont="1" applyBorder="1" applyAlignment="1" applyProtection="1">
      <alignment vertical="center"/>
      <protection locked="0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1" xfId="1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>
      <alignment horizontal="center" vertical="center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B0D6-C9DF-48F2-B84D-EDB58A8B46D3}">
  <dimension ref="A1:I86"/>
  <sheetViews>
    <sheetView tabSelected="1" workbookViewId="0">
      <selection sqref="A1:I86"/>
    </sheetView>
  </sheetViews>
  <sheetFormatPr defaultRowHeight="15"/>
  <cols>
    <col min="1" max="9" width="20.7109375" style="1" customWidth="1"/>
    <col min="10" max="16384" width="9.140625" style="1"/>
  </cols>
  <sheetData>
    <row r="1" spans="1:9">
      <c r="A1" s="25" t="s">
        <v>109</v>
      </c>
      <c r="B1" s="26"/>
      <c r="C1" s="26"/>
      <c r="D1" s="26"/>
      <c r="E1" s="26"/>
      <c r="F1" s="26"/>
      <c r="G1" s="26"/>
      <c r="H1" s="26"/>
      <c r="I1" s="26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</row>
    <row r="3" spans="1:9">
      <c r="A3" s="4">
        <v>1</v>
      </c>
      <c r="B3" s="5" t="s">
        <v>9</v>
      </c>
      <c r="C3" s="5" t="s">
        <v>10</v>
      </c>
      <c r="D3" s="5" t="s">
        <v>11</v>
      </c>
      <c r="E3" s="6">
        <v>3500</v>
      </c>
      <c r="F3" s="4" t="s">
        <v>12</v>
      </c>
      <c r="G3" s="7">
        <v>0.13400000000000001</v>
      </c>
      <c r="H3" s="7">
        <f t="shared" ref="H3:H66" si="0">E3*G3</f>
        <v>469</v>
      </c>
      <c r="I3" s="8" t="s">
        <v>13</v>
      </c>
    </row>
    <row r="4" spans="1:9">
      <c r="A4" s="4">
        <v>2</v>
      </c>
      <c r="B4" s="5" t="s">
        <v>9</v>
      </c>
      <c r="C4" s="5" t="s">
        <v>14</v>
      </c>
      <c r="D4" s="5" t="s">
        <v>11</v>
      </c>
      <c r="E4" s="6">
        <v>15000</v>
      </c>
      <c r="F4" s="4" t="s">
        <v>12</v>
      </c>
      <c r="G4" s="7">
        <v>4.9000000000000002E-2</v>
      </c>
      <c r="H4" s="7">
        <f t="shared" si="0"/>
        <v>735</v>
      </c>
      <c r="I4" s="8" t="s">
        <v>13</v>
      </c>
    </row>
    <row r="5" spans="1:9">
      <c r="A5" s="4">
        <v>3</v>
      </c>
      <c r="B5" s="5" t="s">
        <v>9</v>
      </c>
      <c r="C5" s="9" t="s">
        <v>15</v>
      </c>
      <c r="D5" s="5" t="s">
        <v>11</v>
      </c>
      <c r="E5" s="6">
        <v>6000</v>
      </c>
      <c r="F5" s="4" t="s">
        <v>12</v>
      </c>
      <c r="G5" s="7">
        <v>0.126</v>
      </c>
      <c r="H5" s="7">
        <f t="shared" si="0"/>
        <v>756</v>
      </c>
      <c r="I5" s="8" t="s">
        <v>13</v>
      </c>
    </row>
    <row r="6" spans="1:9">
      <c r="A6" s="4">
        <v>4</v>
      </c>
      <c r="B6" s="5" t="s">
        <v>9</v>
      </c>
      <c r="C6" s="9" t="s">
        <v>16</v>
      </c>
      <c r="D6" s="5" t="s">
        <v>11</v>
      </c>
      <c r="E6" s="6">
        <v>45000</v>
      </c>
      <c r="F6" s="4" t="s">
        <v>12</v>
      </c>
      <c r="G6" s="7">
        <v>0.10100000000000001</v>
      </c>
      <c r="H6" s="7">
        <f t="shared" si="0"/>
        <v>4545</v>
      </c>
      <c r="I6" s="8" t="s">
        <v>13</v>
      </c>
    </row>
    <row r="7" spans="1:9">
      <c r="A7" s="4">
        <v>5</v>
      </c>
      <c r="B7" s="5" t="s">
        <v>9</v>
      </c>
      <c r="C7" s="5" t="s">
        <v>17</v>
      </c>
      <c r="D7" s="5" t="s">
        <v>11</v>
      </c>
      <c r="E7" s="6">
        <v>8000</v>
      </c>
      <c r="F7" s="4" t="s">
        <v>12</v>
      </c>
      <c r="G7" s="7">
        <v>0.06</v>
      </c>
      <c r="H7" s="7">
        <f t="shared" si="0"/>
        <v>480</v>
      </c>
      <c r="I7" s="8" t="s">
        <v>13</v>
      </c>
    </row>
    <row r="8" spans="1:9">
      <c r="A8" s="4">
        <v>6</v>
      </c>
      <c r="B8" s="5" t="s">
        <v>9</v>
      </c>
      <c r="C8" s="5" t="s">
        <v>18</v>
      </c>
      <c r="D8" s="5" t="s">
        <v>11</v>
      </c>
      <c r="E8" s="6">
        <v>27000</v>
      </c>
      <c r="F8" s="4" t="s">
        <v>12</v>
      </c>
      <c r="G8" s="7">
        <v>0.157</v>
      </c>
      <c r="H8" s="7">
        <f t="shared" si="0"/>
        <v>4239</v>
      </c>
      <c r="I8" s="8" t="s">
        <v>13</v>
      </c>
    </row>
    <row r="9" spans="1:9">
      <c r="A9" s="4">
        <v>7</v>
      </c>
      <c r="B9" s="5" t="s">
        <v>9</v>
      </c>
      <c r="C9" s="5" t="s">
        <v>19</v>
      </c>
      <c r="D9" s="5" t="s">
        <v>11</v>
      </c>
      <c r="E9" s="6">
        <v>9000</v>
      </c>
      <c r="F9" s="4" t="s">
        <v>12</v>
      </c>
      <c r="G9" s="7">
        <v>0.12</v>
      </c>
      <c r="H9" s="7">
        <f t="shared" si="0"/>
        <v>1080</v>
      </c>
      <c r="I9" s="8" t="s">
        <v>13</v>
      </c>
    </row>
    <row r="10" spans="1:9">
      <c r="A10" s="4">
        <v>8</v>
      </c>
      <c r="B10" s="5" t="s">
        <v>9</v>
      </c>
      <c r="C10" s="5" t="s">
        <v>20</v>
      </c>
      <c r="D10" s="5" t="s">
        <v>11</v>
      </c>
      <c r="E10" s="6">
        <v>1500</v>
      </c>
      <c r="F10" s="4" t="s">
        <v>12</v>
      </c>
      <c r="G10" s="7">
        <v>0.17100000000000001</v>
      </c>
      <c r="H10" s="7">
        <f t="shared" si="0"/>
        <v>256.5</v>
      </c>
      <c r="I10" s="8" t="s">
        <v>13</v>
      </c>
    </row>
    <row r="11" spans="1:9">
      <c r="A11" s="4">
        <v>9</v>
      </c>
      <c r="B11" s="5" t="s">
        <v>9</v>
      </c>
      <c r="C11" s="5" t="s">
        <v>21</v>
      </c>
      <c r="D11" s="5" t="s">
        <v>11</v>
      </c>
      <c r="E11" s="6">
        <v>3000</v>
      </c>
      <c r="F11" s="4" t="s">
        <v>12</v>
      </c>
      <c r="G11" s="7">
        <v>4.7E-2</v>
      </c>
      <c r="H11" s="7">
        <f t="shared" si="0"/>
        <v>141</v>
      </c>
      <c r="I11" s="8" t="s">
        <v>13</v>
      </c>
    </row>
    <row r="12" spans="1:9">
      <c r="A12" s="4">
        <v>10</v>
      </c>
      <c r="B12" s="5" t="s">
        <v>9</v>
      </c>
      <c r="C12" s="5" t="s">
        <v>22</v>
      </c>
      <c r="D12" s="5" t="s">
        <v>23</v>
      </c>
      <c r="E12" s="6">
        <v>14000</v>
      </c>
      <c r="F12" s="4" t="s">
        <v>12</v>
      </c>
      <c r="G12" s="7">
        <v>5.7000000000000002E-2</v>
      </c>
      <c r="H12" s="7">
        <f t="shared" si="0"/>
        <v>798</v>
      </c>
      <c r="I12" s="8" t="s">
        <v>13</v>
      </c>
    </row>
    <row r="13" spans="1:9">
      <c r="A13" s="4">
        <v>11</v>
      </c>
      <c r="B13" s="5" t="s">
        <v>9</v>
      </c>
      <c r="C13" s="5" t="s">
        <v>24</v>
      </c>
      <c r="D13" s="5" t="s">
        <v>25</v>
      </c>
      <c r="E13" s="6">
        <v>12000</v>
      </c>
      <c r="F13" s="4" t="s">
        <v>12</v>
      </c>
      <c r="G13" s="7">
        <v>5.5E-2</v>
      </c>
      <c r="H13" s="7">
        <f t="shared" si="0"/>
        <v>660</v>
      </c>
      <c r="I13" s="8" t="s">
        <v>13</v>
      </c>
    </row>
    <row r="14" spans="1:9">
      <c r="A14" s="4">
        <v>12</v>
      </c>
      <c r="B14" s="5" t="s">
        <v>9</v>
      </c>
      <c r="C14" s="5" t="s">
        <v>26</v>
      </c>
      <c r="D14" s="5" t="s">
        <v>27</v>
      </c>
      <c r="E14" s="6">
        <v>9000</v>
      </c>
      <c r="F14" s="4" t="s">
        <v>12</v>
      </c>
      <c r="G14" s="7">
        <v>0.153</v>
      </c>
      <c r="H14" s="7">
        <f t="shared" si="0"/>
        <v>1377</v>
      </c>
      <c r="I14" s="8" t="s">
        <v>13</v>
      </c>
    </row>
    <row r="15" spans="1:9">
      <c r="A15" s="4">
        <v>13</v>
      </c>
      <c r="B15" s="5" t="s">
        <v>9</v>
      </c>
      <c r="C15" s="5" t="s">
        <v>28</v>
      </c>
      <c r="D15" s="5" t="s">
        <v>27</v>
      </c>
      <c r="E15" s="6">
        <v>2500</v>
      </c>
      <c r="F15" s="4" t="s">
        <v>12</v>
      </c>
      <c r="G15" s="7">
        <v>0.14499999999999999</v>
      </c>
      <c r="H15" s="7">
        <f t="shared" si="0"/>
        <v>362.5</v>
      </c>
      <c r="I15" s="8" t="s">
        <v>13</v>
      </c>
    </row>
    <row r="16" spans="1:9">
      <c r="A16" s="4">
        <v>14</v>
      </c>
      <c r="B16" s="5" t="s">
        <v>9</v>
      </c>
      <c r="C16" s="5" t="s">
        <v>29</v>
      </c>
      <c r="D16" s="5" t="s">
        <v>27</v>
      </c>
      <c r="E16" s="6">
        <v>20000</v>
      </c>
      <c r="F16" s="4" t="s">
        <v>12</v>
      </c>
      <c r="G16" s="7">
        <v>2.1000000000000001E-2</v>
      </c>
      <c r="H16" s="7">
        <f t="shared" si="0"/>
        <v>420</v>
      </c>
      <c r="I16" s="8" t="s">
        <v>13</v>
      </c>
    </row>
    <row r="17" spans="1:9">
      <c r="A17" s="4">
        <v>15</v>
      </c>
      <c r="B17" s="5" t="s">
        <v>9</v>
      </c>
      <c r="C17" s="5" t="s">
        <v>30</v>
      </c>
      <c r="D17" s="5" t="s">
        <v>27</v>
      </c>
      <c r="E17" s="6">
        <v>3000</v>
      </c>
      <c r="F17" s="4" t="s">
        <v>12</v>
      </c>
      <c r="G17" s="7">
        <v>0.26200000000000001</v>
      </c>
      <c r="H17" s="7">
        <f t="shared" si="0"/>
        <v>786</v>
      </c>
      <c r="I17" s="8" t="s">
        <v>13</v>
      </c>
    </row>
    <row r="18" spans="1:9">
      <c r="A18" s="4">
        <v>16</v>
      </c>
      <c r="B18" s="5" t="s">
        <v>31</v>
      </c>
      <c r="C18" s="5" t="s">
        <v>32</v>
      </c>
      <c r="D18" s="5" t="s">
        <v>11</v>
      </c>
      <c r="E18" s="6">
        <v>82500</v>
      </c>
      <c r="F18" s="4" t="s">
        <v>12</v>
      </c>
      <c r="G18" s="7">
        <v>1.7000000000000001E-2</v>
      </c>
      <c r="H18" s="7">
        <f t="shared" si="0"/>
        <v>1402.5</v>
      </c>
      <c r="I18" s="8" t="s">
        <v>13</v>
      </c>
    </row>
    <row r="19" spans="1:9">
      <c r="A19" s="4">
        <v>17</v>
      </c>
      <c r="B19" s="5" t="s">
        <v>31</v>
      </c>
      <c r="C19" s="5" t="s">
        <v>33</v>
      </c>
      <c r="D19" s="5" t="s">
        <v>11</v>
      </c>
      <c r="E19" s="6">
        <v>20000</v>
      </c>
      <c r="F19" s="4" t="s">
        <v>12</v>
      </c>
      <c r="G19" s="7">
        <v>1.4E-2</v>
      </c>
      <c r="H19" s="7">
        <f t="shared" si="0"/>
        <v>280</v>
      </c>
      <c r="I19" s="8" t="s">
        <v>13</v>
      </c>
    </row>
    <row r="20" spans="1:9">
      <c r="A20" s="4">
        <v>18</v>
      </c>
      <c r="B20" s="5" t="s">
        <v>31</v>
      </c>
      <c r="C20" s="5" t="s">
        <v>34</v>
      </c>
      <c r="D20" s="5" t="s">
        <v>11</v>
      </c>
      <c r="E20" s="6">
        <v>240000</v>
      </c>
      <c r="F20" s="4" t="s">
        <v>12</v>
      </c>
      <c r="G20" s="7">
        <v>8.9999999999999993E-3</v>
      </c>
      <c r="H20" s="7">
        <f t="shared" si="0"/>
        <v>2160</v>
      </c>
      <c r="I20" s="8" t="s">
        <v>13</v>
      </c>
    </row>
    <row r="21" spans="1:9">
      <c r="A21" s="4">
        <v>19</v>
      </c>
      <c r="B21" s="5" t="s">
        <v>31</v>
      </c>
      <c r="C21" s="5" t="s">
        <v>35</v>
      </c>
      <c r="D21" s="5" t="s">
        <v>11</v>
      </c>
      <c r="E21" s="6">
        <v>55200</v>
      </c>
      <c r="F21" s="4" t="s">
        <v>12</v>
      </c>
      <c r="G21" s="7">
        <v>2.1000000000000001E-2</v>
      </c>
      <c r="H21" s="7">
        <f t="shared" si="0"/>
        <v>1159.2</v>
      </c>
      <c r="I21" s="8" t="s">
        <v>13</v>
      </c>
    </row>
    <row r="22" spans="1:9">
      <c r="A22" s="4">
        <v>20</v>
      </c>
      <c r="B22" s="5" t="s">
        <v>31</v>
      </c>
      <c r="C22" s="5" t="s">
        <v>36</v>
      </c>
      <c r="D22" s="5" t="s">
        <v>11</v>
      </c>
      <c r="E22" s="6">
        <v>24000</v>
      </c>
      <c r="F22" s="4" t="s">
        <v>12</v>
      </c>
      <c r="G22" s="7">
        <v>1.0999999999999999E-2</v>
      </c>
      <c r="H22" s="7">
        <f t="shared" si="0"/>
        <v>264</v>
      </c>
      <c r="I22" s="8" t="s">
        <v>13</v>
      </c>
    </row>
    <row r="23" spans="1:9">
      <c r="A23" s="4">
        <v>21</v>
      </c>
      <c r="B23" s="5" t="s">
        <v>31</v>
      </c>
      <c r="C23" s="5" t="s">
        <v>37</v>
      </c>
      <c r="D23" s="5" t="s">
        <v>11</v>
      </c>
      <c r="E23" s="6">
        <v>35000</v>
      </c>
      <c r="F23" s="4" t="s">
        <v>12</v>
      </c>
      <c r="G23" s="7">
        <v>7.0000000000000001E-3</v>
      </c>
      <c r="H23" s="7">
        <f t="shared" si="0"/>
        <v>245</v>
      </c>
      <c r="I23" s="8" t="s">
        <v>13</v>
      </c>
    </row>
    <row r="24" spans="1:9">
      <c r="A24" s="4">
        <v>22</v>
      </c>
      <c r="B24" s="5" t="s">
        <v>31</v>
      </c>
      <c r="C24" s="5" t="s">
        <v>38</v>
      </c>
      <c r="D24" s="5" t="s">
        <v>11</v>
      </c>
      <c r="E24" s="6">
        <v>63000</v>
      </c>
      <c r="F24" s="4" t="s">
        <v>12</v>
      </c>
      <c r="G24" s="7">
        <v>8.0000000000000002E-3</v>
      </c>
      <c r="H24" s="7">
        <f t="shared" si="0"/>
        <v>504</v>
      </c>
      <c r="I24" s="8" t="s">
        <v>13</v>
      </c>
    </row>
    <row r="25" spans="1:9">
      <c r="A25" s="4">
        <v>23</v>
      </c>
      <c r="B25" s="5" t="s">
        <v>31</v>
      </c>
      <c r="C25" s="5" t="s">
        <v>39</v>
      </c>
      <c r="D25" s="5" t="s">
        <v>25</v>
      </c>
      <c r="E25" s="6">
        <v>42000</v>
      </c>
      <c r="F25" s="4" t="s">
        <v>12</v>
      </c>
      <c r="G25" s="7">
        <v>1.6E-2</v>
      </c>
      <c r="H25" s="7">
        <f t="shared" si="0"/>
        <v>672</v>
      </c>
      <c r="I25" s="8" t="s">
        <v>13</v>
      </c>
    </row>
    <row r="26" spans="1:9">
      <c r="A26" s="4">
        <v>24</v>
      </c>
      <c r="B26" s="5" t="s">
        <v>31</v>
      </c>
      <c r="C26" s="5" t="s">
        <v>40</v>
      </c>
      <c r="D26" s="5" t="s">
        <v>25</v>
      </c>
      <c r="E26" s="6">
        <v>90000</v>
      </c>
      <c r="F26" s="4" t="s">
        <v>12</v>
      </c>
      <c r="G26" s="7">
        <v>4.0000000000000001E-3</v>
      </c>
      <c r="H26" s="7">
        <f t="shared" si="0"/>
        <v>360</v>
      </c>
      <c r="I26" s="8" t="s">
        <v>13</v>
      </c>
    </row>
    <row r="27" spans="1:9">
      <c r="A27" s="4">
        <v>25</v>
      </c>
      <c r="B27" s="5" t="s">
        <v>31</v>
      </c>
      <c r="C27" s="5" t="s">
        <v>41</v>
      </c>
      <c r="D27" s="5" t="s">
        <v>27</v>
      </c>
      <c r="E27" s="6">
        <v>4000</v>
      </c>
      <c r="F27" s="4" t="s">
        <v>12</v>
      </c>
      <c r="G27" s="7">
        <v>3.7999999999999999E-2</v>
      </c>
      <c r="H27" s="7">
        <f t="shared" si="0"/>
        <v>152</v>
      </c>
      <c r="I27" s="8" t="s">
        <v>13</v>
      </c>
    </row>
    <row r="28" spans="1:9">
      <c r="A28" s="4">
        <v>26</v>
      </c>
      <c r="B28" s="5" t="s">
        <v>31</v>
      </c>
      <c r="C28" s="5" t="s">
        <v>42</v>
      </c>
      <c r="D28" s="5" t="s">
        <v>27</v>
      </c>
      <c r="E28" s="6">
        <v>50000</v>
      </c>
      <c r="F28" s="4" t="s">
        <v>12</v>
      </c>
      <c r="G28" s="7">
        <v>8.9999999999999993E-3</v>
      </c>
      <c r="H28" s="7">
        <f t="shared" si="0"/>
        <v>449.99999999999994</v>
      </c>
      <c r="I28" s="8" t="s">
        <v>13</v>
      </c>
    </row>
    <row r="29" spans="1:9">
      <c r="A29" s="4">
        <v>27</v>
      </c>
      <c r="B29" s="5" t="s">
        <v>31</v>
      </c>
      <c r="C29" s="5" t="s">
        <v>43</v>
      </c>
      <c r="D29" s="5" t="s">
        <v>27</v>
      </c>
      <c r="E29" s="6">
        <v>18000</v>
      </c>
      <c r="F29" s="4" t="s">
        <v>12</v>
      </c>
      <c r="G29" s="7">
        <v>8.0000000000000002E-3</v>
      </c>
      <c r="H29" s="7">
        <f t="shared" si="0"/>
        <v>144</v>
      </c>
      <c r="I29" s="8" t="s">
        <v>13</v>
      </c>
    </row>
    <row r="30" spans="1:9">
      <c r="A30" s="4">
        <v>28</v>
      </c>
      <c r="B30" s="5" t="s">
        <v>44</v>
      </c>
      <c r="C30" s="5" t="s">
        <v>45</v>
      </c>
      <c r="D30" s="5" t="s">
        <v>11</v>
      </c>
      <c r="E30" s="6">
        <v>19200</v>
      </c>
      <c r="F30" s="4" t="s">
        <v>12</v>
      </c>
      <c r="G30" s="7">
        <v>3.1E-2</v>
      </c>
      <c r="H30" s="7">
        <f t="shared" si="0"/>
        <v>595.20000000000005</v>
      </c>
      <c r="I30" s="8" t="s">
        <v>13</v>
      </c>
    </row>
    <row r="31" spans="1:9">
      <c r="A31" s="4">
        <v>29</v>
      </c>
      <c r="B31" s="5" t="s">
        <v>46</v>
      </c>
      <c r="C31" s="5" t="s">
        <v>47</v>
      </c>
      <c r="D31" s="5" t="s">
        <v>11</v>
      </c>
      <c r="E31" s="6">
        <v>112000</v>
      </c>
      <c r="F31" s="4" t="s">
        <v>12</v>
      </c>
      <c r="G31" s="7">
        <v>1.4E-2</v>
      </c>
      <c r="H31" s="7">
        <f t="shared" si="0"/>
        <v>1568</v>
      </c>
      <c r="I31" s="8" t="s">
        <v>13</v>
      </c>
    </row>
    <row r="32" spans="1:9">
      <c r="A32" s="4">
        <v>30</v>
      </c>
      <c r="B32" s="5" t="s">
        <v>48</v>
      </c>
      <c r="C32" s="9">
        <v>603841</v>
      </c>
      <c r="D32" s="5" t="s">
        <v>27</v>
      </c>
      <c r="E32" s="6">
        <v>400</v>
      </c>
      <c r="F32" s="4" t="s">
        <v>12</v>
      </c>
      <c r="G32" s="7">
        <v>2.9249999999999998</v>
      </c>
      <c r="H32" s="7">
        <f t="shared" si="0"/>
        <v>1170</v>
      </c>
      <c r="I32" s="8" t="s">
        <v>13</v>
      </c>
    </row>
    <row r="33" spans="1:9">
      <c r="A33" s="4">
        <v>31</v>
      </c>
      <c r="B33" s="5" t="s">
        <v>49</v>
      </c>
      <c r="C33" s="5" t="s">
        <v>50</v>
      </c>
      <c r="D33" s="5" t="s">
        <v>11</v>
      </c>
      <c r="E33" s="6">
        <v>16000</v>
      </c>
      <c r="F33" s="4" t="s">
        <v>12</v>
      </c>
      <c r="G33" s="7">
        <v>0.03</v>
      </c>
      <c r="H33" s="7">
        <f>E33*G33</f>
        <v>480</v>
      </c>
      <c r="I33" s="8" t="s">
        <v>13</v>
      </c>
    </row>
    <row r="34" spans="1:9">
      <c r="A34" s="4">
        <v>32</v>
      </c>
      <c r="B34" s="5" t="s">
        <v>49</v>
      </c>
      <c r="C34" s="5" t="s">
        <v>51</v>
      </c>
      <c r="D34" s="5" t="s">
        <v>11</v>
      </c>
      <c r="E34" s="6">
        <v>9600</v>
      </c>
      <c r="F34" s="4" t="s">
        <v>12</v>
      </c>
      <c r="G34" s="7">
        <v>2.7E-2</v>
      </c>
      <c r="H34" s="7">
        <f t="shared" si="0"/>
        <v>259.2</v>
      </c>
      <c r="I34" s="8" t="s">
        <v>13</v>
      </c>
    </row>
    <row r="35" spans="1:9">
      <c r="A35" s="4">
        <v>33</v>
      </c>
      <c r="B35" s="5" t="s">
        <v>49</v>
      </c>
      <c r="C35" s="5" t="s">
        <v>50</v>
      </c>
      <c r="D35" s="5" t="s">
        <v>11</v>
      </c>
      <c r="E35" s="6">
        <v>8000</v>
      </c>
      <c r="F35" s="4" t="s">
        <v>12</v>
      </c>
      <c r="G35" s="7">
        <v>0.03</v>
      </c>
      <c r="H35" s="7">
        <f t="shared" si="0"/>
        <v>240</v>
      </c>
      <c r="I35" s="8" t="s">
        <v>13</v>
      </c>
    </row>
    <row r="36" spans="1:9">
      <c r="A36" s="4">
        <v>34</v>
      </c>
      <c r="B36" s="5" t="s">
        <v>52</v>
      </c>
      <c r="C36" s="5" t="s">
        <v>53</v>
      </c>
      <c r="D36" s="5" t="s">
        <v>27</v>
      </c>
      <c r="E36" s="6">
        <v>20000</v>
      </c>
      <c r="F36" s="4" t="s">
        <v>12</v>
      </c>
      <c r="G36" s="7">
        <v>2.5000000000000001E-2</v>
      </c>
      <c r="H36" s="7">
        <f t="shared" si="0"/>
        <v>500</v>
      </c>
      <c r="I36" s="8" t="s">
        <v>13</v>
      </c>
    </row>
    <row r="37" spans="1:9">
      <c r="A37" s="4">
        <v>35</v>
      </c>
      <c r="B37" s="5" t="s">
        <v>52</v>
      </c>
      <c r="C37" s="5" t="s">
        <v>54</v>
      </c>
      <c r="D37" s="5" t="s">
        <v>27</v>
      </c>
      <c r="E37" s="6">
        <v>20000</v>
      </c>
      <c r="F37" s="4" t="s">
        <v>12</v>
      </c>
      <c r="G37" s="7">
        <v>1.7999999999999999E-2</v>
      </c>
      <c r="H37" s="7">
        <f t="shared" si="0"/>
        <v>360</v>
      </c>
      <c r="I37" s="8" t="s">
        <v>13</v>
      </c>
    </row>
    <row r="38" spans="1:9">
      <c r="A38" s="4">
        <v>36</v>
      </c>
      <c r="B38" s="5" t="s">
        <v>55</v>
      </c>
      <c r="C38" s="5" t="s">
        <v>56</v>
      </c>
      <c r="D38" s="5" t="s">
        <v>27</v>
      </c>
      <c r="E38" s="6">
        <v>50000</v>
      </c>
      <c r="F38" s="4" t="s">
        <v>12</v>
      </c>
      <c r="G38" s="7">
        <v>3.4000000000000002E-2</v>
      </c>
      <c r="H38" s="7">
        <f t="shared" si="0"/>
        <v>1700.0000000000002</v>
      </c>
      <c r="I38" s="8" t="s">
        <v>13</v>
      </c>
    </row>
    <row r="39" spans="1:9">
      <c r="A39" s="4">
        <v>37</v>
      </c>
      <c r="B39" s="5" t="s">
        <v>57</v>
      </c>
      <c r="C39" s="5" t="s">
        <v>58</v>
      </c>
      <c r="D39" s="5" t="s">
        <v>27</v>
      </c>
      <c r="E39" s="6">
        <v>500</v>
      </c>
      <c r="F39" s="4" t="s">
        <v>12</v>
      </c>
      <c r="G39" s="7">
        <v>2.4169999999999998</v>
      </c>
      <c r="H39" s="7">
        <f t="shared" si="0"/>
        <v>1208.5</v>
      </c>
      <c r="I39" s="8" t="s">
        <v>13</v>
      </c>
    </row>
    <row r="40" spans="1:9">
      <c r="A40" s="4">
        <v>38</v>
      </c>
      <c r="B40" s="5" t="s">
        <v>57</v>
      </c>
      <c r="C40" s="5" t="s">
        <v>59</v>
      </c>
      <c r="D40" s="5" t="s">
        <v>27</v>
      </c>
      <c r="E40" s="6">
        <v>500</v>
      </c>
      <c r="F40" s="4" t="s">
        <v>12</v>
      </c>
      <c r="G40" s="7">
        <v>2.4169999999999998</v>
      </c>
      <c r="H40" s="7">
        <f t="shared" si="0"/>
        <v>1208.5</v>
      </c>
      <c r="I40" s="8" t="s">
        <v>13</v>
      </c>
    </row>
    <row r="41" spans="1:9">
      <c r="A41" s="4">
        <v>39</v>
      </c>
      <c r="B41" s="5" t="s">
        <v>60</v>
      </c>
      <c r="C41" s="5" t="s">
        <v>61</v>
      </c>
      <c r="D41" s="5" t="s">
        <v>27</v>
      </c>
      <c r="E41" s="6">
        <v>5000</v>
      </c>
      <c r="F41" s="4" t="s">
        <v>12</v>
      </c>
      <c r="G41" s="7">
        <v>0.16500000000000001</v>
      </c>
      <c r="H41" s="7">
        <f t="shared" si="0"/>
        <v>825</v>
      </c>
      <c r="I41" s="8" t="s">
        <v>13</v>
      </c>
    </row>
    <row r="42" spans="1:9">
      <c r="A42" s="4">
        <v>40</v>
      </c>
      <c r="B42" s="5" t="s">
        <v>62</v>
      </c>
      <c r="C42" s="5" t="s">
        <v>63</v>
      </c>
      <c r="D42" s="5" t="s">
        <v>27</v>
      </c>
      <c r="E42" s="6">
        <v>12000</v>
      </c>
      <c r="F42" s="4" t="s">
        <v>64</v>
      </c>
      <c r="G42" s="7">
        <v>0.27900000000000003</v>
      </c>
      <c r="H42" s="7">
        <f t="shared" si="0"/>
        <v>3348.0000000000005</v>
      </c>
      <c r="I42" s="8" t="s">
        <v>13</v>
      </c>
    </row>
    <row r="43" spans="1:9">
      <c r="A43" s="4">
        <v>41</v>
      </c>
      <c r="B43" s="5" t="s">
        <v>62</v>
      </c>
      <c r="C43" s="5" t="s">
        <v>65</v>
      </c>
      <c r="D43" s="5" t="s">
        <v>27</v>
      </c>
      <c r="E43" s="6">
        <v>5000</v>
      </c>
      <c r="F43" s="4" t="s">
        <v>64</v>
      </c>
      <c r="G43" s="7">
        <v>0.13600000000000001</v>
      </c>
      <c r="H43" s="7">
        <f t="shared" si="0"/>
        <v>680</v>
      </c>
      <c r="I43" s="8" t="s">
        <v>13</v>
      </c>
    </row>
    <row r="44" spans="1:9">
      <c r="A44" s="4">
        <v>42</v>
      </c>
      <c r="B44" s="5" t="s">
        <v>66</v>
      </c>
      <c r="C44" s="5" t="s">
        <v>67</v>
      </c>
      <c r="D44" s="5" t="s">
        <v>25</v>
      </c>
      <c r="E44" s="6">
        <v>3000</v>
      </c>
      <c r="F44" s="4" t="s">
        <v>64</v>
      </c>
      <c r="G44" s="7">
        <v>3.3000000000000002E-2</v>
      </c>
      <c r="H44" s="7">
        <f t="shared" si="0"/>
        <v>99</v>
      </c>
      <c r="I44" s="8" t="s">
        <v>13</v>
      </c>
    </row>
    <row r="45" spans="1:9">
      <c r="A45" s="4">
        <v>43</v>
      </c>
      <c r="B45" s="5" t="s">
        <v>68</v>
      </c>
      <c r="C45" s="5" t="s">
        <v>69</v>
      </c>
      <c r="D45" s="5" t="s">
        <v>11</v>
      </c>
      <c r="E45" s="6">
        <v>30000</v>
      </c>
      <c r="F45" s="4" t="s">
        <v>12</v>
      </c>
      <c r="G45" s="7">
        <v>4.2999999999999997E-2</v>
      </c>
      <c r="H45" s="7">
        <f t="shared" si="0"/>
        <v>1290</v>
      </c>
      <c r="I45" s="8" t="s">
        <v>13</v>
      </c>
    </row>
    <row r="46" spans="1:9">
      <c r="A46" s="4">
        <v>44</v>
      </c>
      <c r="B46" s="5" t="s">
        <v>68</v>
      </c>
      <c r="C46" s="5" t="s">
        <v>70</v>
      </c>
      <c r="D46" s="5" t="s">
        <v>11</v>
      </c>
      <c r="E46" s="6">
        <v>14000</v>
      </c>
      <c r="F46" s="4" t="s">
        <v>12</v>
      </c>
      <c r="G46" s="7">
        <v>0.05</v>
      </c>
      <c r="H46" s="7">
        <f t="shared" si="0"/>
        <v>700</v>
      </c>
      <c r="I46" s="8" t="s">
        <v>13</v>
      </c>
    </row>
    <row r="47" spans="1:9">
      <c r="A47" s="4">
        <v>45</v>
      </c>
      <c r="B47" s="5" t="s">
        <v>68</v>
      </c>
      <c r="C47" s="5" t="s">
        <v>71</v>
      </c>
      <c r="D47" s="5" t="s">
        <v>11</v>
      </c>
      <c r="E47" s="6">
        <v>10000</v>
      </c>
      <c r="F47" s="4" t="s">
        <v>12</v>
      </c>
      <c r="G47" s="7">
        <v>5.8000000000000003E-2</v>
      </c>
      <c r="H47" s="7">
        <f t="shared" si="0"/>
        <v>580</v>
      </c>
      <c r="I47" s="8" t="s">
        <v>13</v>
      </c>
    </row>
    <row r="48" spans="1:9">
      <c r="A48" s="4">
        <v>46</v>
      </c>
      <c r="B48" s="5" t="s">
        <v>68</v>
      </c>
      <c r="C48" s="5" t="s">
        <v>72</v>
      </c>
      <c r="D48" s="5" t="s">
        <v>11</v>
      </c>
      <c r="E48" s="6">
        <v>30000</v>
      </c>
      <c r="F48" s="4" t="s">
        <v>12</v>
      </c>
      <c r="G48" s="7">
        <v>2.7E-2</v>
      </c>
      <c r="H48" s="7">
        <f t="shared" si="0"/>
        <v>810</v>
      </c>
      <c r="I48" s="8" t="s">
        <v>13</v>
      </c>
    </row>
    <row r="49" spans="1:9">
      <c r="A49" s="4">
        <v>47</v>
      </c>
      <c r="B49" s="5" t="s">
        <v>68</v>
      </c>
      <c r="C49" s="5" t="s">
        <v>73</v>
      </c>
      <c r="D49" s="5" t="s">
        <v>11</v>
      </c>
      <c r="E49" s="6">
        <v>10000</v>
      </c>
      <c r="F49" s="4" t="s">
        <v>12</v>
      </c>
      <c r="G49" s="7">
        <v>4.0000000000000001E-3</v>
      </c>
      <c r="H49" s="7">
        <f t="shared" si="0"/>
        <v>40</v>
      </c>
      <c r="I49" s="8" t="s">
        <v>13</v>
      </c>
    </row>
    <row r="50" spans="1:9">
      <c r="A50" s="4">
        <v>48</v>
      </c>
      <c r="B50" s="5" t="s">
        <v>68</v>
      </c>
      <c r="C50" s="5" t="s">
        <v>74</v>
      </c>
      <c r="D50" s="5" t="s">
        <v>11</v>
      </c>
      <c r="E50" s="6">
        <v>12000</v>
      </c>
      <c r="F50" s="4" t="s">
        <v>12</v>
      </c>
      <c r="G50" s="7">
        <v>1.2999999999999999E-2</v>
      </c>
      <c r="H50" s="7">
        <f t="shared" si="0"/>
        <v>156</v>
      </c>
      <c r="I50" s="8" t="s">
        <v>13</v>
      </c>
    </row>
    <row r="51" spans="1:9">
      <c r="A51" s="4">
        <v>49</v>
      </c>
      <c r="B51" s="5" t="s">
        <v>68</v>
      </c>
      <c r="C51" s="5" t="s">
        <v>75</v>
      </c>
      <c r="D51" s="5" t="s">
        <v>11</v>
      </c>
      <c r="E51" s="6">
        <v>4000</v>
      </c>
      <c r="F51" s="4" t="s">
        <v>12</v>
      </c>
      <c r="G51" s="7">
        <v>0.04</v>
      </c>
      <c r="H51" s="7">
        <f t="shared" si="0"/>
        <v>160</v>
      </c>
      <c r="I51" s="8" t="s">
        <v>13</v>
      </c>
    </row>
    <row r="52" spans="1:9">
      <c r="A52" s="4">
        <v>50</v>
      </c>
      <c r="B52" s="5" t="s">
        <v>68</v>
      </c>
      <c r="C52" s="5" t="s">
        <v>76</v>
      </c>
      <c r="D52" s="5" t="s">
        <v>11</v>
      </c>
      <c r="E52" s="6">
        <v>8000</v>
      </c>
      <c r="F52" s="4" t="s">
        <v>12</v>
      </c>
      <c r="G52" s="7">
        <v>4.2000000000000003E-2</v>
      </c>
      <c r="H52" s="7">
        <f t="shared" si="0"/>
        <v>336</v>
      </c>
      <c r="I52" s="8" t="s">
        <v>13</v>
      </c>
    </row>
    <row r="53" spans="1:9">
      <c r="A53" s="4">
        <v>51</v>
      </c>
      <c r="B53" s="5" t="s">
        <v>68</v>
      </c>
      <c r="C53" s="5" t="s">
        <v>77</v>
      </c>
      <c r="D53" s="5" t="s">
        <v>11</v>
      </c>
      <c r="E53" s="6">
        <v>4000</v>
      </c>
      <c r="F53" s="4" t="s">
        <v>12</v>
      </c>
      <c r="G53" s="7">
        <v>4.7E-2</v>
      </c>
      <c r="H53" s="7">
        <f t="shared" si="0"/>
        <v>188</v>
      </c>
      <c r="I53" s="8" t="s">
        <v>13</v>
      </c>
    </row>
    <row r="54" spans="1:9">
      <c r="A54" s="4">
        <v>52</v>
      </c>
      <c r="B54" s="5" t="s">
        <v>68</v>
      </c>
      <c r="C54" s="5" t="s">
        <v>78</v>
      </c>
      <c r="D54" s="5" t="s">
        <v>11</v>
      </c>
      <c r="E54" s="6">
        <v>30000</v>
      </c>
      <c r="F54" s="4" t="s">
        <v>12</v>
      </c>
      <c r="G54" s="7">
        <v>4.0000000000000001E-3</v>
      </c>
      <c r="H54" s="7">
        <f t="shared" si="0"/>
        <v>120</v>
      </c>
      <c r="I54" s="8" t="s">
        <v>13</v>
      </c>
    </row>
    <row r="55" spans="1:9">
      <c r="A55" s="4">
        <v>53</v>
      </c>
      <c r="B55" s="5" t="s">
        <v>68</v>
      </c>
      <c r="C55" s="5" t="s">
        <v>79</v>
      </c>
      <c r="D55" s="5" t="s">
        <v>11</v>
      </c>
      <c r="E55" s="6">
        <v>9000</v>
      </c>
      <c r="F55" s="4" t="s">
        <v>12</v>
      </c>
      <c r="G55" s="7">
        <v>4.9000000000000002E-2</v>
      </c>
      <c r="H55" s="7">
        <f t="shared" si="0"/>
        <v>441</v>
      </c>
      <c r="I55" s="8" t="s">
        <v>13</v>
      </c>
    </row>
    <row r="56" spans="1:9">
      <c r="A56" s="4">
        <v>54</v>
      </c>
      <c r="B56" s="5" t="s">
        <v>68</v>
      </c>
      <c r="C56" s="5" t="s">
        <v>80</v>
      </c>
      <c r="D56" s="5" t="s">
        <v>11</v>
      </c>
      <c r="E56" s="6">
        <v>6000</v>
      </c>
      <c r="F56" s="4" t="s">
        <v>12</v>
      </c>
      <c r="G56" s="7">
        <v>5.8000000000000003E-2</v>
      </c>
      <c r="H56" s="7">
        <f t="shared" si="0"/>
        <v>348</v>
      </c>
      <c r="I56" s="8" t="s">
        <v>13</v>
      </c>
    </row>
    <row r="57" spans="1:9">
      <c r="A57" s="4">
        <v>55</v>
      </c>
      <c r="B57" s="5" t="s">
        <v>68</v>
      </c>
      <c r="C57" s="5" t="s">
        <v>81</v>
      </c>
      <c r="D57" s="5" t="s">
        <v>11</v>
      </c>
      <c r="E57" s="6">
        <v>6000</v>
      </c>
      <c r="F57" s="4" t="s">
        <v>12</v>
      </c>
      <c r="G57" s="7">
        <v>6.3E-2</v>
      </c>
      <c r="H57" s="7">
        <f t="shared" si="0"/>
        <v>378</v>
      </c>
      <c r="I57" s="8" t="s">
        <v>13</v>
      </c>
    </row>
    <row r="58" spans="1:9">
      <c r="A58" s="4">
        <v>56</v>
      </c>
      <c r="B58" s="5" t="s">
        <v>68</v>
      </c>
      <c r="C58" s="5" t="s">
        <v>82</v>
      </c>
      <c r="D58" s="5" t="s">
        <v>11</v>
      </c>
      <c r="E58" s="6">
        <v>6000</v>
      </c>
      <c r="F58" s="4" t="s">
        <v>12</v>
      </c>
      <c r="G58" s="7">
        <v>7.5999999999999998E-2</v>
      </c>
      <c r="H58" s="7">
        <f t="shared" si="0"/>
        <v>456</v>
      </c>
      <c r="I58" s="8" t="s">
        <v>13</v>
      </c>
    </row>
    <row r="59" spans="1:9">
      <c r="A59" s="4">
        <v>57</v>
      </c>
      <c r="B59" s="5" t="s">
        <v>68</v>
      </c>
      <c r="C59" s="5" t="s">
        <v>83</v>
      </c>
      <c r="D59" s="5" t="s">
        <v>11</v>
      </c>
      <c r="E59" s="6">
        <v>4500</v>
      </c>
      <c r="F59" s="4" t="s">
        <v>12</v>
      </c>
      <c r="G59" s="7">
        <v>9.2999999999999999E-2</v>
      </c>
      <c r="H59" s="7">
        <f t="shared" si="0"/>
        <v>418.5</v>
      </c>
      <c r="I59" s="8" t="s">
        <v>13</v>
      </c>
    </row>
    <row r="60" spans="1:9">
      <c r="A60" s="4">
        <v>58</v>
      </c>
      <c r="B60" s="5" t="s">
        <v>68</v>
      </c>
      <c r="C60" s="5" t="s">
        <v>84</v>
      </c>
      <c r="D60" s="5" t="s">
        <v>11</v>
      </c>
      <c r="E60" s="6">
        <v>1500</v>
      </c>
      <c r="F60" s="4" t="s">
        <v>12</v>
      </c>
      <c r="G60" s="7">
        <v>9.7000000000000003E-2</v>
      </c>
      <c r="H60" s="7">
        <f t="shared" si="0"/>
        <v>145.5</v>
      </c>
      <c r="I60" s="8" t="s">
        <v>13</v>
      </c>
    </row>
    <row r="61" spans="1:9">
      <c r="A61" s="4">
        <v>59</v>
      </c>
      <c r="B61" s="5" t="s">
        <v>68</v>
      </c>
      <c r="C61" s="5" t="s">
        <v>85</v>
      </c>
      <c r="D61" s="5" t="s">
        <v>11</v>
      </c>
      <c r="E61" s="6">
        <v>10000</v>
      </c>
      <c r="F61" s="4" t="s">
        <v>12</v>
      </c>
      <c r="G61" s="7">
        <v>6.3E-2</v>
      </c>
      <c r="H61" s="7">
        <f t="shared" si="0"/>
        <v>630</v>
      </c>
      <c r="I61" s="8" t="s">
        <v>13</v>
      </c>
    </row>
    <row r="62" spans="1:9">
      <c r="A62" s="4">
        <v>60</v>
      </c>
      <c r="B62" s="5" t="s">
        <v>68</v>
      </c>
      <c r="C62" s="5" t="s">
        <v>86</v>
      </c>
      <c r="D62" s="5" t="s">
        <v>11</v>
      </c>
      <c r="E62" s="6">
        <v>16000</v>
      </c>
      <c r="F62" s="4" t="s">
        <v>12</v>
      </c>
      <c r="G62" s="7">
        <v>6.4000000000000001E-2</v>
      </c>
      <c r="H62" s="7">
        <f t="shared" si="0"/>
        <v>1024</v>
      </c>
      <c r="I62" s="8" t="s">
        <v>13</v>
      </c>
    </row>
    <row r="63" spans="1:9">
      <c r="A63" s="4">
        <v>61</v>
      </c>
      <c r="B63" s="5" t="s">
        <v>68</v>
      </c>
      <c r="C63" s="5" t="s">
        <v>87</v>
      </c>
      <c r="D63" s="5" t="s">
        <v>11</v>
      </c>
      <c r="E63" s="6">
        <v>2000</v>
      </c>
      <c r="F63" s="4" t="s">
        <v>12</v>
      </c>
      <c r="G63" s="7">
        <v>7.0000000000000007E-2</v>
      </c>
      <c r="H63" s="7">
        <f t="shared" si="0"/>
        <v>140</v>
      </c>
      <c r="I63" s="8" t="s">
        <v>13</v>
      </c>
    </row>
    <row r="64" spans="1:9">
      <c r="A64" s="4">
        <v>62</v>
      </c>
      <c r="B64" s="5" t="s">
        <v>68</v>
      </c>
      <c r="C64" s="5" t="s">
        <v>88</v>
      </c>
      <c r="D64" s="5" t="s">
        <v>11</v>
      </c>
      <c r="E64" s="6">
        <v>12000</v>
      </c>
      <c r="F64" s="4" t="s">
        <v>12</v>
      </c>
      <c r="G64" s="7">
        <v>7.3999999999999996E-2</v>
      </c>
      <c r="H64" s="7">
        <f t="shared" si="0"/>
        <v>888</v>
      </c>
      <c r="I64" s="8" t="s">
        <v>13</v>
      </c>
    </row>
    <row r="65" spans="1:9">
      <c r="A65" s="4">
        <v>63</v>
      </c>
      <c r="B65" s="5" t="s">
        <v>68</v>
      </c>
      <c r="C65" s="5" t="s">
        <v>89</v>
      </c>
      <c r="D65" s="5" t="s">
        <v>11</v>
      </c>
      <c r="E65" s="6">
        <v>12000</v>
      </c>
      <c r="F65" s="4" t="s">
        <v>12</v>
      </c>
      <c r="G65" s="7">
        <v>7.5999999999999998E-2</v>
      </c>
      <c r="H65" s="7">
        <f t="shared" si="0"/>
        <v>912</v>
      </c>
      <c r="I65" s="8" t="s">
        <v>13</v>
      </c>
    </row>
    <row r="66" spans="1:9">
      <c r="A66" s="4">
        <v>64</v>
      </c>
      <c r="B66" s="5" t="s">
        <v>68</v>
      </c>
      <c r="C66" s="5" t="s">
        <v>69</v>
      </c>
      <c r="D66" s="5" t="s">
        <v>11</v>
      </c>
      <c r="E66" s="6">
        <v>30000</v>
      </c>
      <c r="F66" s="4" t="s">
        <v>12</v>
      </c>
      <c r="G66" s="7">
        <v>4.2999999999999997E-2</v>
      </c>
      <c r="H66" s="7">
        <f t="shared" si="0"/>
        <v>1290</v>
      </c>
      <c r="I66" s="8" t="s">
        <v>13</v>
      </c>
    </row>
    <row r="67" spans="1:9">
      <c r="A67" s="4">
        <v>65</v>
      </c>
      <c r="B67" s="5" t="s">
        <v>68</v>
      </c>
      <c r="C67" s="5" t="s">
        <v>70</v>
      </c>
      <c r="D67" s="5" t="s">
        <v>11</v>
      </c>
      <c r="E67" s="6">
        <v>14000</v>
      </c>
      <c r="F67" s="4" t="s">
        <v>12</v>
      </c>
      <c r="G67" s="7">
        <v>0.05</v>
      </c>
      <c r="H67" s="7">
        <f t="shared" ref="H67:H86" si="1">E67*G67</f>
        <v>700</v>
      </c>
      <c r="I67" s="8" t="s">
        <v>13</v>
      </c>
    </row>
    <row r="68" spans="1:9">
      <c r="A68" s="4">
        <v>66</v>
      </c>
      <c r="B68" s="5" t="s">
        <v>68</v>
      </c>
      <c r="C68" s="5" t="s">
        <v>72</v>
      </c>
      <c r="D68" s="5" t="s">
        <v>11</v>
      </c>
      <c r="E68" s="6">
        <v>30000</v>
      </c>
      <c r="F68" s="4" t="s">
        <v>12</v>
      </c>
      <c r="G68" s="7">
        <v>2.7E-2</v>
      </c>
      <c r="H68" s="7">
        <f t="shared" si="1"/>
        <v>810</v>
      </c>
      <c r="I68" s="8" t="s">
        <v>13</v>
      </c>
    </row>
    <row r="69" spans="1:9">
      <c r="A69" s="4">
        <v>67</v>
      </c>
      <c r="B69" s="5" t="s">
        <v>68</v>
      </c>
      <c r="C69" s="5" t="s">
        <v>71</v>
      </c>
      <c r="D69" s="5" t="s">
        <v>11</v>
      </c>
      <c r="E69" s="6">
        <v>10000</v>
      </c>
      <c r="F69" s="4" t="s">
        <v>12</v>
      </c>
      <c r="G69" s="7">
        <v>5.8000000000000003E-2</v>
      </c>
      <c r="H69" s="7">
        <f t="shared" si="1"/>
        <v>580</v>
      </c>
      <c r="I69" s="8" t="s">
        <v>13</v>
      </c>
    </row>
    <row r="70" spans="1:9">
      <c r="A70" s="4">
        <v>68</v>
      </c>
      <c r="B70" s="5" t="s">
        <v>68</v>
      </c>
      <c r="C70" s="5" t="s">
        <v>90</v>
      </c>
      <c r="D70" s="5" t="s">
        <v>11</v>
      </c>
      <c r="E70" s="6">
        <v>12000</v>
      </c>
      <c r="F70" s="4" t="s">
        <v>12</v>
      </c>
      <c r="G70" s="7">
        <v>3.9E-2</v>
      </c>
      <c r="H70" s="7">
        <f t="shared" si="1"/>
        <v>468</v>
      </c>
      <c r="I70" s="8" t="s">
        <v>13</v>
      </c>
    </row>
    <row r="71" spans="1:9">
      <c r="A71" s="4">
        <v>69</v>
      </c>
      <c r="B71" s="5" t="s">
        <v>68</v>
      </c>
      <c r="C71" s="5" t="s">
        <v>91</v>
      </c>
      <c r="D71" s="5" t="s">
        <v>11</v>
      </c>
      <c r="E71" s="6">
        <v>12000</v>
      </c>
      <c r="F71" s="4" t="s">
        <v>12</v>
      </c>
      <c r="G71" s="7">
        <v>0.05</v>
      </c>
      <c r="H71" s="7">
        <f t="shared" si="1"/>
        <v>600</v>
      </c>
      <c r="I71" s="8" t="s">
        <v>13</v>
      </c>
    </row>
    <row r="72" spans="1:9">
      <c r="A72" s="4">
        <v>70</v>
      </c>
      <c r="B72" s="5" t="s">
        <v>68</v>
      </c>
      <c r="C72" s="5" t="s">
        <v>73</v>
      </c>
      <c r="D72" s="5" t="s">
        <v>11</v>
      </c>
      <c r="E72" s="6">
        <v>60000</v>
      </c>
      <c r="F72" s="4" t="s">
        <v>12</v>
      </c>
      <c r="G72" s="7">
        <v>4.0000000000000001E-3</v>
      </c>
      <c r="H72" s="7">
        <f t="shared" si="1"/>
        <v>240</v>
      </c>
      <c r="I72" s="8" t="s">
        <v>13</v>
      </c>
    </row>
    <row r="73" spans="1:9">
      <c r="A73" s="4">
        <v>71</v>
      </c>
      <c r="B73" s="5" t="s">
        <v>92</v>
      </c>
      <c r="C73" s="5" t="s">
        <v>93</v>
      </c>
      <c r="D73" s="5" t="s">
        <v>11</v>
      </c>
      <c r="E73" s="6">
        <v>9000</v>
      </c>
      <c r="F73" s="4" t="s">
        <v>64</v>
      </c>
      <c r="G73" s="7">
        <v>5.1999999999999998E-2</v>
      </c>
      <c r="H73" s="7">
        <f t="shared" si="1"/>
        <v>468</v>
      </c>
      <c r="I73" s="8" t="s">
        <v>13</v>
      </c>
    </row>
    <row r="74" spans="1:9">
      <c r="A74" s="4">
        <v>72</v>
      </c>
      <c r="B74" s="5" t="s">
        <v>92</v>
      </c>
      <c r="C74" s="5" t="s">
        <v>94</v>
      </c>
      <c r="D74" s="5" t="s">
        <v>11</v>
      </c>
      <c r="E74" s="6">
        <v>18000</v>
      </c>
      <c r="F74" s="4" t="s">
        <v>64</v>
      </c>
      <c r="G74" s="7">
        <v>5.1999999999999998E-2</v>
      </c>
      <c r="H74" s="7">
        <f t="shared" si="1"/>
        <v>936</v>
      </c>
      <c r="I74" s="8" t="s">
        <v>13</v>
      </c>
    </row>
    <row r="75" spans="1:9">
      <c r="A75" s="4">
        <v>73</v>
      </c>
      <c r="B75" s="5" t="s">
        <v>92</v>
      </c>
      <c r="C75" s="5" t="s">
        <v>95</v>
      </c>
      <c r="D75" s="5" t="s">
        <v>11</v>
      </c>
      <c r="E75" s="6">
        <v>6000</v>
      </c>
      <c r="F75" s="4" t="s">
        <v>64</v>
      </c>
      <c r="G75" s="7">
        <v>7.0000000000000007E-2</v>
      </c>
      <c r="H75" s="7">
        <f t="shared" si="1"/>
        <v>420.00000000000006</v>
      </c>
      <c r="I75" s="8" t="s">
        <v>13</v>
      </c>
    </row>
    <row r="76" spans="1:9">
      <c r="A76" s="4">
        <v>74</v>
      </c>
      <c r="B76" s="5" t="s">
        <v>92</v>
      </c>
      <c r="C76" s="5" t="s">
        <v>96</v>
      </c>
      <c r="D76" s="5" t="s">
        <v>11</v>
      </c>
      <c r="E76" s="6">
        <v>12000</v>
      </c>
      <c r="F76" s="4" t="s">
        <v>64</v>
      </c>
      <c r="G76" s="7">
        <v>7.0000000000000007E-2</v>
      </c>
      <c r="H76" s="7">
        <f t="shared" si="1"/>
        <v>840.00000000000011</v>
      </c>
      <c r="I76" s="8" t="s">
        <v>13</v>
      </c>
    </row>
    <row r="77" spans="1:9">
      <c r="A77" s="4">
        <v>75</v>
      </c>
      <c r="B77" s="5" t="s">
        <v>92</v>
      </c>
      <c r="C77" s="5" t="s">
        <v>97</v>
      </c>
      <c r="D77" s="5" t="s">
        <v>98</v>
      </c>
      <c r="E77" s="6">
        <v>4000</v>
      </c>
      <c r="F77" s="4" t="s">
        <v>64</v>
      </c>
      <c r="G77" s="7">
        <v>5.0999999999999997E-2</v>
      </c>
      <c r="H77" s="7">
        <f t="shared" si="1"/>
        <v>204</v>
      </c>
      <c r="I77" s="8" t="s">
        <v>13</v>
      </c>
    </row>
    <row r="78" spans="1:9">
      <c r="A78" s="4">
        <v>76</v>
      </c>
      <c r="B78" s="5" t="s">
        <v>92</v>
      </c>
      <c r="C78" s="5" t="s">
        <v>99</v>
      </c>
      <c r="D78" s="5" t="s">
        <v>98</v>
      </c>
      <c r="E78" s="6">
        <v>20000</v>
      </c>
      <c r="F78" s="4" t="s">
        <v>64</v>
      </c>
      <c r="G78" s="7">
        <v>5.0999999999999997E-2</v>
      </c>
      <c r="H78" s="7">
        <f t="shared" si="1"/>
        <v>1019.9999999999999</v>
      </c>
      <c r="I78" s="8" t="s">
        <v>13</v>
      </c>
    </row>
    <row r="79" spans="1:9">
      <c r="A79" s="4">
        <v>77</v>
      </c>
      <c r="B79" s="5" t="s">
        <v>92</v>
      </c>
      <c r="C79" s="5" t="s">
        <v>100</v>
      </c>
      <c r="D79" s="5" t="s">
        <v>98</v>
      </c>
      <c r="E79" s="6">
        <v>6000</v>
      </c>
      <c r="F79" s="4" t="s">
        <v>64</v>
      </c>
      <c r="G79" s="7">
        <v>5.0999999999999997E-2</v>
      </c>
      <c r="H79" s="7">
        <f t="shared" si="1"/>
        <v>306</v>
      </c>
      <c r="I79" s="8" t="s">
        <v>13</v>
      </c>
    </row>
    <row r="80" spans="1:9">
      <c r="A80" s="4">
        <v>78</v>
      </c>
      <c r="B80" s="5" t="s">
        <v>92</v>
      </c>
      <c r="C80" s="5" t="s">
        <v>101</v>
      </c>
      <c r="D80" s="5" t="s">
        <v>98</v>
      </c>
      <c r="E80" s="6">
        <v>14000</v>
      </c>
      <c r="F80" s="4" t="s">
        <v>64</v>
      </c>
      <c r="G80" s="7">
        <v>5.0999999999999997E-2</v>
      </c>
      <c r="H80" s="7">
        <f t="shared" si="1"/>
        <v>714</v>
      </c>
      <c r="I80" s="8" t="s">
        <v>13</v>
      </c>
    </row>
    <row r="81" spans="1:9">
      <c r="A81" s="4">
        <v>79</v>
      </c>
      <c r="B81" s="5" t="s">
        <v>92</v>
      </c>
      <c r="C81" s="5" t="s">
        <v>102</v>
      </c>
      <c r="D81" s="5" t="s">
        <v>98</v>
      </c>
      <c r="E81" s="6">
        <v>2000</v>
      </c>
      <c r="F81" s="4" t="s">
        <v>64</v>
      </c>
      <c r="G81" s="7">
        <v>5.0999999999999997E-2</v>
      </c>
      <c r="H81" s="7">
        <f t="shared" si="1"/>
        <v>102</v>
      </c>
      <c r="I81" s="8" t="s">
        <v>13</v>
      </c>
    </row>
    <row r="82" spans="1:9">
      <c r="A82" s="4">
        <v>80</v>
      </c>
      <c r="B82" s="5" t="s">
        <v>92</v>
      </c>
      <c r="C82" s="5" t="s">
        <v>103</v>
      </c>
      <c r="D82" s="5" t="s">
        <v>25</v>
      </c>
      <c r="E82" s="6">
        <v>9000</v>
      </c>
      <c r="F82" s="4" t="s">
        <v>64</v>
      </c>
      <c r="G82" s="7">
        <v>4.8000000000000001E-2</v>
      </c>
      <c r="H82" s="7">
        <f t="shared" si="1"/>
        <v>432</v>
      </c>
      <c r="I82" s="8" t="s">
        <v>13</v>
      </c>
    </row>
    <row r="83" spans="1:9">
      <c r="A83" s="4">
        <v>81</v>
      </c>
      <c r="B83" s="5" t="s">
        <v>92</v>
      </c>
      <c r="C83" s="5" t="s">
        <v>104</v>
      </c>
      <c r="D83" s="5" t="s">
        <v>25</v>
      </c>
      <c r="E83" s="6">
        <v>9000</v>
      </c>
      <c r="F83" s="4" t="s">
        <v>64</v>
      </c>
      <c r="G83" s="7">
        <v>4.7E-2</v>
      </c>
      <c r="H83" s="7">
        <f t="shared" si="1"/>
        <v>423</v>
      </c>
      <c r="I83" s="8" t="s">
        <v>13</v>
      </c>
    </row>
    <row r="84" spans="1:9">
      <c r="A84" s="4">
        <v>82</v>
      </c>
      <c r="B84" s="5" t="s">
        <v>92</v>
      </c>
      <c r="C84" s="5" t="s">
        <v>105</v>
      </c>
      <c r="D84" s="5" t="s">
        <v>25</v>
      </c>
      <c r="E84" s="6">
        <v>1500</v>
      </c>
      <c r="F84" s="4" t="s">
        <v>64</v>
      </c>
      <c r="G84" s="7">
        <v>4.7E-2</v>
      </c>
      <c r="H84" s="7">
        <f t="shared" si="1"/>
        <v>70.5</v>
      </c>
      <c r="I84" s="8" t="s">
        <v>13</v>
      </c>
    </row>
    <row r="85" spans="1:9">
      <c r="A85" s="10" t="s">
        <v>106</v>
      </c>
      <c r="B85" s="11"/>
      <c r="C85" s="11"/>
      <c r="D85" s="12"/>
      <c r="E85" s="13">
        <f>SUM(E3:E41,E45:E72)</f>
        <v>1568400</v>
      </c>
      <c r="F85" s="14" t="s">
        <v>107</v>
      </c>
      <c r="G85" s="15"/>
      <c r="H85" s="16">
        <f>SUM(H3:H84)</f>
        <v>59923.600000000006</v>
      </c>
      <c r="I85" s="17"/>
    </row>
    <row r="86" spans="1:9">
      <c r="A86" s="18"/>
      <c r="B86" s="19"/>
      <c r="C86" s="19"/>
      <c r="D86" s="20"/>
      <c r="E86" s="21">
        <f>SUM(E42:E44,E73:E84)</f>
        <v>130500</v>
      </c>
      <c r="F86" s="22" t="s">
        <v>108</v>
      </c>
      <c r="G86" s="23"/>
      <c r="H86" s="16"/>
      <c r="I86" s="24"/>
    </row>
  </sheetData>
  <mergeCells count="4">
    <mergeCell ref="A85:D86"/>
    <mergeCell ref="G85:G86"/>
    <mergeCell ref="H85:H86"/>
    <mergeCell ref="I85:I8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2025-09-29T01:35:52Z</dcterms:created>
  <dcterms:modified xsi:type="dcterms:W3CDTF">2025-09-29T02:06:37Z</dcterms:modified>
</cp:coreProperties>
</file>