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BC03ED4-67D7-463D-9F53-557375542B0B}" xr6:coauthVersionLast="47" xr6:coauthVersionMax="47" xr10:uidLastSave="{00000000-0000-0000-0000-000000000000}"/>
  <bookViews>
    <workbookView xWindow="28680" yWindow="-120" windowWidth="29040" windowHeight="15840" tabRatio="845" activeTab="3" xr2:uid="{00000000-000D-0000-FFFF-FFFF00000000}"/>
  </bookViews>
  <sheets>
    <sheet name="DJC20250829-261" sheetId="1" r:id="rId1"/>
    <sheet name="DETAILS" sheetId="2" r:id="rId2"/>
    <sheet name="PACKING LIST" sheetId="3" r:id="rId3"/>
    <sheet name="PACKING DETAIL" sheetId="4" r:id="rId4"/>
  </sheets>
  <externalReferences>
    <externalReference r:id="rId5"/>
  </externalReferences>
  <definedNames>
    <definedName name="_xlnm._FilterDatabase" localSheetId="3" hidden="1">'PACKING DETAIL'!$A$2:$L$87</definedName>
    <definedName name="_xlnm.Print_Area" localSheetId="0">'DJC20250829-261'!$A$1:$N$67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3" l="1"/>
  <c r="F87" i="4"/>
  <c r="D87" i="4"/>
  <c r="F82" i="4"/>
  <c r="D83" i="4"/>
  <c r="D82" i="4"/>
  <c r="H33" i="3" s="1"/>
  <c r="E86" i="2"/>
  <c r="E85" i="2"/>
  <c r="G81" i="4" l="1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38" i="2"/>
  <c r="H37" i="2"/>
  <c r="H36" i="2"/>
  <c r="H41" i="2"/>
  <c r="H40" i="2"/>
  <c r="H39" i="2"/>
  <c r="H33" i="2"/>
  <c r="H44" i="2"/>
  <c r="H43" i="2"/>
  <c r="H42" i="2"/>
  <c r="H35" i="2"/>
  <c r="H34" i="2"/>
  <c r="H30" i="2" l="1"/>
  <c r="H19" i="2"/>
  <c r="H14" i="2"/>
  <c r="H31" i="2"/>
  <c r="H29" i="2"/>
  <c r="H28" i="2"/>
  <c r="H27" i="2"/>
  <c r="H23" i="2"/>
  <c r="H22" i="2"/>
  <c r="H21" i="2"/>
  <c r="H20" i="2"/>
  <c r="H13" i="2"/>
  <c r="H12" i="2"/>
  <c r="H11" i="2"/>
  <c r="H5" i="2"/>
  <c r="H32" i="2"/>
  <c r="H26" i="2"/>
  <c r="H25" i="2"/>
  <c r="H24" i="2"/>
  <c r="H18" i="2"/>
  <c r="H16" i="2"/>
  <c r="H15" i="2"/>
  <c r="H8" i="2"/>
  <c r="H7" i="2"/>
  <c r="H10" i="2"/>
  <c r="H6" i="2"/>
  <c r="H4" i="2"/>
  <c r="H17" i="2"/>
  <c r="H9" i="2"/>
  <c r="H31" i="1" l="1"/>
  <c r="H30" i="1" l="1"/>
  <c r="H3" i="2" l="1"/>
  <c r="H85" i="2" s="1"/>
  <c r="M30" i="1" l="1"/>
  <c r="H5" i="3"/>
  <c r="J59" i="3"/>
  <c r="G38" i="4" l="1"/>
  <c r="G40" i="4"/>
  <c r="G8" i="4"/>
  <c r="G15" i="4"/>
  <c r="G42" i="4"/>
  <c r="G16" i="4"/>
  <c r="G9" i="4"/>
  <c r="G13" i="4"/>
  <c r="G6" i="4"/>
  <c r="G34" i="4"/>
  <c r="G10" i="4"/>
  <c r="G27" i="4"/>
  <c r="G7" i="4"/>
  <c r="G22" i="4"/>
  <c r="G45" i="4"/>
  <c r="G21" i="4"/>
  <c r="G28" i="4"/>
  <c r="G19" i="4"/>
  <c r="G20" i="4"/>
  <c r="G44" i="4"/>
  <c r="G37" i="4"/>
  <c r="G12" i="4"/>
  <c r="G5" i="4"/>
  <c r="G26" i="4"/>
  <c r="G32" i="4"/>
  <c r="G39" i="4"/>
  <c r="G41" i="4"/>
  <c r="G29" i="4"/>
  <c r="G23" i="4"/>
  <c r="G18" i="4"/>
  <c r="G14" i="4"/>
  <c r="G43" i="4"/>
  <c r="G33" i="4"/>
  <c r="G4" i="4"/>
  <c r="G11" i="4"/>
  <c r="G17" i="4"/>
  <c r="G24" i="4"/>
  <c r="G35" i="4"/>
  <c r="G36" i="4"/>
  <c r="G25" i="4"/>
  <c r="G30" i="4"/>
  <c r="G31" i="4"/>
  <c r="G3" i="4"/>
  <c r="G82" i="4" l="1"/>
  <c r="G85" i="4" l="1"/>
  <c r="G86" i="4"/>
  <c r="G84" i="4"/>
  <c r="G87" i="4" s="1"/>
</calcChain>
</file>

<file path=xl/sharedStrings.xml><?xml version="1.0" encoding="utf-8"?>
<sst xmlns="http://schemas.openxmlformats.org/spreadsheetml/2006/main" count="788" uniqueCount="175">
  <si>
    <t>1. SHIPPER/EXPORTER</t>
    <phoneticPr fontId="1" type="noConversion"/>
  </si>
  <si>
    <t xml:space="preserve">3. NOTIFY PARTY </t>
    <phoneticPr fontId="1" type="noConversion"/>
  </si>
  <si>
    <t>4. PORT OF LOADING</t>
    <phoneticPr fontId="1" type="noConversion"/>
  </si>
  <si>
    <t>2. RECEIVER/IMPORTER</t>
    <phoneticPr fontId="1" type="noConversion"/>
  </si>
  <si>
    <t>6. NO.  &amp; DATE OF INVOICE</t>
    <phoneticPr fontId="1" type="noConversion"/>
  </si>
  <si>
    <t>7. PO NO.</t>
    <phoneticPr fontId="1" type="noConversion"/>
  </si>
  <si>
    <t>8. TERMS OF DELIVERY AND PAYMENT</t>
    <phoneticPr fontId="1" type="noConversion"/>
  </si>
  <si>
    <t>9. PACKING</t>
    <phoneticPr fontId="1" type="noConversion"/>
  </si>
  <si>
    <t>10. BANK DETAIL</t>
    <phoneticPr fontId="1" type="noConversion"/>
  </si>
  <si>
    <t>11. REMARKS</t>
    <phoneticPr fontId="1" type="noConversion"/>
  </si>
  <si>
    <t>13. QUANTITY/UNIT</t>
    <phoneticPr fontId="1" type="noConversion"/>
  </si>
  <si>
    <t>14. UNIT-PRICE</t>
    <phoneticPr fontId="1" type="noConversion"/>
  </si>
  <si>
    <t>15. AMOUNT</t>
    <phoneticPr fontId="1" type="noConversion"/>
  </si>
  <si>
    <t>EXPORTER'S STANDARD PACKING</t>
    <phoneticPr fontId="1" type="noConversion"/>
  </si>
  <si>
    <t>16. ISSUED BY :</t>
    <phoneticPr fontId="1" type="noConversion"/>
  </si>
  <si>
    <t>17. ACCEPTED BY :</t>
    <phoneticPr fontId="1" type="noConversion"/>
  </si>
  <si>
    <t>Busan City, The south of Korea.</t>
    <phoneticPr fontId="1" type="noConversion"/>
  </si>
  <si>
    <t>B144, Nakdong-daero 910, Sasang-gu,</t>
    <phoneticPr fontId="1" type="noConversion"/>
  </si>
  <si>
    <t>Contact : Woo Jung Min</t>
    <phoneticPr fontId="1" type="noConversion"/>
  </si>
  <si>
    <t>Tel)++82 10 2868 7653</t>
    <phoneticPr fontId="1" type="noConversion"/>
  </si>
  <si>
    <t>Dong Jin Global Co., Ltd.</t>
    <phoneticPr fontId="1" type="noConversion"/>
  </si>
  <si>
    <t>Tel)++84 254 3688959</t>
    <phoneticPr fontId="1" type="noConversion"/>
  </si>
  <si>
    <t>Fax)++84 254 3866680</t>
    <phoneticPr fontId="1" type="noConversion"/>
  </si>
  <si>
    <t>12. DESCRIPTIONS OF GOODS</t>
  </si>
  <si>
    <t>PRESIDENT (LEE SUNG JAE)</t>
    <phoneticPr fontId="1" type="noConversion"/>
  </si>
  <si>
    <t>DONG JIN GLOBAL CO., LTD.</t>
    <phoneticPr fontId="1" type="noConversion"/>
  </si>
  <si>
    <t>5. DESTINATION</t>
    <phoneticPr fontId="1" type="noConversion"/>
  </si>
  <si>
    <t>DIRECTOR (WOO JUNG MIN)</t>
    <phoneticPr fontId="1" type="noConversion"/>
  </si>
  <si>
    <t>CIF HCMC</t>
    <phoneticPr fontId="1" type="noConversion"/>
  </si>
  <si>
    <t>SPECIFICATION</t>
    <phoneticPr fontId="1" type="noConversion"/>
  </si>
  <si>
    <t>EA</t>
  </si>
  <si>
    <t>EA</t>
    <phoneticPr fontId="1" type="noConversion"/>
  </si>
  <si>
    <t>TOTAL</t>
    <phoneticPr fontId="1" type="noConversion"/>
  </si>
  <si>
    <t xml:space="preserve">  - Please refer to the attached document for details.</t>
    <phoneticPr fontId="1" type="noConversion"/>
  </si>
  <si>
    <t>PART NAME</t>
    <phoneticPr fontId="1" type="noConversion"/>
  </si>
  <si>
    <t>PART NUMBER</t>
    <phoneticPr fontId="1" type="noConversion"/>
  </si>
  <si>
    <t>Q'TY</t>
    <phoneticPr fontId="1" type="noConversion"/>
  </si>
  <si>
    <t>UNIT</t>
    <phoneticPr fontId="1" type="noConversion"/>
  </si>
  <si>
    <t>UNIT PRICE</t>
    <phoneticPr fontId="1" type="noConversion"/>
  </si>
  <si>
    <t>AMOUNT</t>
    <phoneticPr fontId="1" type="noConversion"/>
  </si>
  <si>
    <t>NO</t>
    <phoneticPr fontId="1" type="noConversion"/>
  </si>
  <si>
    <t>DONG JIN CORPORATION CO., LTD.</t>
    <phoneticPr fontId="1" type="noConversion"/>
  </si>
  <si>
    <t>MATERIAL TO MAKE WIRING HARNESS</t>
    <phoneticPr fontId="1" type="noConversion"/>
  </si>
  <si>
    <t>COMMERCIAL INVOICE</t>
    <phoneticPr fontId="1" type="noConversion"/>
  </si>
  <si>
    <t>PACKING LIST</t>
    <phoneticPr fontId="1" type="noConversion"/>
  </si>
  <si>
    <t>Part Number</t>
    <phoneticPr fontId="1" type="noConversion"/>
  </si>
  <si>
    <t>P/NO</t>
    <phoneticPr fontId="1" type="noConversion"/>
  </si>
  <si>
    <t>14. NET WEIGHT(KG)</t>
    <phoneticPr fontId="1" type="noConversion"/>
  </si>
  <si>
    <t>15. GROSS WEIGHT(KG)</t>
    <phoneticPr fontId="1" type="noConversion"/>
  </si>
  <si>
    <t>16.CBM</t>
    <phoneticPr fontId="1" type="noConversion"/>
  </si>
  <si>
    <t>17. ISSUED BY :</t>
    <phoneticPr fontId="1" type="noConversion"/>
  </si>
  <si>
    <t>18. ACCEPTED BY :</t>
    <phoneticPr fontId="1" type="noConversion"/>
  </si>
  <si>
    <t>Net Weight
(KG)</t>
    <phoneticPr fontId="1" type="noConversion"/>
  </si>
  <si>
    <t>Gross Weight
(KG)</t>
    <phoneticPr fontId="1" type="noConversion"/>
  </si>
  <si>
    <t>CBM</t>
    <phoneticPr fontId="1" type="noConversion"/>
  </si>
  <si>
    <t>Package No.</t>
    <phoneticPr fontId="1" type="noConversion"/>
  </si>
  <si>
    <t>DONGJIN CORPORATION CO., LTD.</t>
    <phoneticPr fontId="1" type="noConversion"/>
  </si>
  <si>
    <t>PROJECT</t>
    <phoneticPr fontId="1" type="noConversion"/>
  </si>
  <si>
    <t>HCMC PORT</t>
    <phoneticPr fontId="1" type="noConversion"/>
  </si>
  <si>
    <t>PUS PORT</t>
    <phoneticPr fontId="1" type="noConversion"/>
  </si>
  <si>
    <t>Tax code 3502336577</t>
    <phoneticPr fontId="1" type="noConversion"/>
  </si>
  <si>
    <t>ELECTRIC WIRE</t>
  </si>
  <si>
    <t>M</t>
  </si>
  <si>
    <t>M</t>
    <phoneticPr fontId="1" type="noConversion"/>
  </si>
  <si>
    <t>ORIGIN/MADE IN</t>
    <phoneticPr fontId="1" type="noConversion"/>
  </si>
  <si>
    <t>KR</t>
    <phoneticPr fontId="1" type="noConversion"/>
  </si>
  <si>
    <t>U100</t>
  </si>
  <si>
    <t>CONNECTOR</t>
  </si>
  <si>
    <t>TERMINAL</t>
  </si>
  <si>
    <t>BAND CABLE-A(GY)</t>
  </si>
  <si>
    <t>KPP011-99010</t>
  </si>
  <si>
    <t>SEAL</t>
  </si>
  <si>
    <t>Lot 17, Road N11, Dat Do 1 Industrial Park,</t>
    <phoneticPr fontId="1" type="noConversion"/>
  </si>
  <si>
    <t>Dat Do Commune, Ho Chi Minh City, Viet Nam</t>
    <phoneticPr fontId="1" type="noConversion"/>
  </si>
  <si>
    <t>CL6424-0049-2</t>
  </si>
  <si>
    <t>CL6431-0011-8</t>
  </si>
  <si>
    <t>CL6431-0013-3</t>
  </si>
  <si>
    <t>50*30</t>
  </si>
  <si>
    <t>50*60</t>
  </si>
  <si>
    <t>CL6439-0011-9</t>
  </si>
  <si>
    <t>KH2000062-20</t>
  </si>
  <si>
    <t>ST730960-3</t>
  </si>
  <si>
    <t>ST741332-3</t>
  </si>
  <si>
    <t>CL6431-0007-0</t>
  </si>
  <si>
    <t>CL6432-0022-0-001</t>
  </si>
  <si>
    <t>KH2000016-21</t>
  </si>
  <si>
    <t>BAND CABLE-A5(B)</t>
  </si>
  <si>
    <t>GB080-01020</t>
  </si>
  <si>
    <t>TEMP SENSOR</t>
  </si>
  <si>
    <t>EP5F103N4-KP13-R</t>
  </si>
  <si>
    <t>EP5F103N4-KP13-L</t>
  </si>
  <si>
    <t>CS PAD</t>
  </si>
  <si>
    <t>30*310</t>
  </si>
  <si>
    <t>30*320</t>
  </si>
  <si>
    <t>30*555</t>
  </si>
  <si>
    <t>50*265</t>
  </si>
  <si>
    <t>50*300</t>
  </si>
  <si>
    <t>50*360</t>
  </si>
  <si>
    <t>50*460</t>
  </si>
  <si>
    <t>50*65</t>
  </si>
  <si>
    <t>AVSS03BW</t>
  </si>
  <si>
    <t>AVSS03GB</t>
  </si>
  <si>
    <t>AVSS03WR</t>
  </si>
  <si>
    <t>AVSS05B</t>
  </si>
  <si>
    <t>MV/ME</t>
  </si>
  <si>
    <t>6,7</t>
  </si>
  <si>
    <t>TOTAL</t>
  </si>
  <si>
    <t>CONTAINER</t>
    <phoneticPr fontId="1" type="noConversion"/>
  </si>
  <si>
    <t>Details of DJC20250829-261</t>
    <phoneticPr fontId="1" type="noConversion"/>
  </si>
  <si>
    <t>PACKING LIST DETAIL OF DJC20250829-261</t>
    <phoneticPr fontId="1" type="noConversion"/>
  </si>
  <si>
    <t>MG645605</t>
  </si>
  <si>
    <t>MG651032</t>
  </si>
  <si>
    <t>MG653026</t>
  </si>
  <si>
    <t>CL6432-0021-8</t>
  </si>
  <si>
    <t>MG655608</t>
  </si>
  <si>
    <t>MG645610</t>
  </si>
  <si>
    <t>MG622937</t>
  </si>
  <si>
    <t>NQ5a PE HEV</t>
  </si>
  <si>
    <t>MG652987</t>
  </si>
  <si>
    <t>NQ5e PE</t>
  </si>
  <si>
    <t>MG642581-5</t>
  </si>
  <si>
    <t>MG652582-5</t>
  </si>
  <si>
    <t>MG681114</t>
  </si>
  <si>
    <t>CL6405-0009-0</t>
  </si>
  <si>
    <t>CL6431-0022-4-000</t>
  </si>
  <si>
    <t>ST731053-3</t>
  </si>
  <si>
    <t>ST710966-3</t>
  </si>
  <si>
    <t>ST760320-1</t>
  </si>
  <si>
    <t>CL6405-0015-2</t>
  </si>
  <si>
    <t>EMERHENCY RELEASE CABLE</t>
  </si>
  <si>
    <t>CLIP</t>
  </si>
  <si>
    <t>MG634834-5</t>
  </si>
  <si>
    <t>GB080-02150</t>
  </si>
  <si>
    <t>MG685390</t>
  </si>
  <si>
    <t>CL6426-0060-8</t>
  </si>
  <si>
    <t>CABLE TIE</t>
  </si>
  <si>
    <t>111-01747</t>
  </si>
  <si>
    <t>HEAT SHRINK TUBE</t>
  </si>
  <si>
    <t>SSA024050</t>
  </si>
  <si>
    <t>CORRUGATE TUBE</t>
  </si>
  <si>
    <t>C19OR</t>
  </si>
  <si>
    <t>C12OR</t>
  </si>
  <si>
    <t>VYNIL TUBE</t>
  </si>
  <si>
    <t>VYNILTUBE003B</t>
  </si>
  <si>
    <t>30*45</t>
  </si>
  <si>
    <t>30*95</t>
  </si>
  <si>
    <t>30*30</t>
  </si>
  <si>
    <t>30*105</t>
  </si>
  <si>
    <t>30*330</t>
  </si>
  <si>
    <t>30*380</t>
  </si>
  <si>
    <t>50*20</t>
  </si>
  <si>
    <t>50*235</t>
  </si>
  <si>
    <t>50*445</t>
  </si>
  <si>
    <t>30*500</t>
  </si>
  <si>
    <t>30*510</t>
  </si>
  <si>
    <t>30*590</t>
  </si>
  <si>
    <t>30*395</t>
  </si>
  <si>
    <t>AVSS03W</t>
  </si>
  <si>
    <t>AVSS05Y</t>
  </si>
  <si>
    <t>FLRYA035B</t>
  </si>
  <si>
    <t>FLRYA035Br</t>
  </si>
  <si>
    <t>FLRYA035L</t>
  </si>
  <si>
    <t>FLRYA035Y</t>
  </si>
  <si>
    <t>FLRYA035O</t>
  </si>
  <si>
    <t>AVSS03O</t>
  </si>
  <si>
    <t>AU2</t>
  </si>
  <si>
    <t>10PACKAGES</t>
    <phoneticPr fontId="1" type="noConversion"/>
  </si>
  <si>
    <t>11~70</t>
  </si>
  <si>
    <t>71~80</t>
  </si>
  <si>
    <t>81~83</t>
  </si>
  <si>
    <t>73PACKAGES</t>
    <phoneticPr fontId="1" type="noConversion"/>
  </si>
  <si>
    <t>EIGHTY-THREE(83) OF PACKAGES ONLY</t>
    <phoneticPr fontId="1" type="noConversion"/>
  </si>
  <si>
    <t>GAOU2012465 / CKL390350</t>
    <phoneticPr fontId="1" type="noConversion"/>
  </si>
  <si>
    <t>CKSU2220032 / CKL390332</t>
    <phoneticPr fontId="1" type="noConversion"/>
  </si>
  <si>
    <t>DJC20250829-261                 29, Aug,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</si>
</sst>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6" formatCode="_-[$$-409]* #,##0.00_ ;_-[$$-409]* \-#,##0.00\ ;_-[$$-409]* &quot;-&quot;??_ ;_-@_ "/>
    <numFmt numFmtId="167" formatCode="_-[$$-409]* #,##0.000_ ;_-[$$-409]* \-#,##0.000\ ;_-[$$-409]* &quot;-&quot;??_ ;_-@_ "/>
    <numFmt numFmtId="168" formatCode="_-* #,##0.000_-;\-* #,##0.000_-;_-* &quot;-&quot;_-;_-@_-"/>
    <numFmt numFmtId="169" formatCode="_-* #,##0.00_-;\-* #,##0.00_-;_-* &quot;-&quot;_-;_-@_-"/>
    <numFmt numFmtId="170" formatCode="_-* #,##0.0000_-;\-* #,##0.0000_-;_-* &quot;-&quot;_-;_-@_-"/>
    <numFmt numFmtId="171" formatCode="_-* #,##0.000_-;\-* #,##0.000_-;_-* &quot;-&quot;??_-;_-@_-"/>
    <numFmt numFmtId="172" formatCode="0.0"/>
    <numFmt numFmtId="173" formatCode="0.000"/>
  </numFmts>
  <fonts count="1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30"/>
      <color theme="1"/>
      <name val="Cambria"/>
      <family val="3"/>
      <charset val="129"/>
      <scheme val="major"/>
    </font>
    <font>
      <sz val="11"/>
      <color theme="1"/>
      <name val="Calibri"/>
      <family val="3"/>
      <charset val="129"/>
      <scheme val="minor"/>
    </font>
    <font>
      <b/>
      <sz val="15"/>
      <color theme="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5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7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6" fontId="3" fillId="0" borderId="0" xfId="0" applyNumberFormat="1" applyFont="1">
      <alignment vertical="center"/>
    </xf>
    <xf numFmtId="166" fontId="0" fillId="0" borderId="0" xfId="0" applyNumberFormat="1">
      <alignment vertical="center"/>
    </xf>
    <xf numFmtId="166" fontId="6" fillId="0" borderId="0" xfId="0" applyNumberFormat="1" applyFont="1" applyAlignment="1">
      <alignment horizontal="center" vertical="center"/>
    </xf>
    <xf numFmtId="166" fontId="3" fillId="0" borderId="10" xfId="0" applyNumberFormat="1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1" applyFont="1" applyBorder="1">
      <alignment vertical="center"/>
    </xf>
    <xf numFmtId="164" fontId="0" fillId="0" borderId="0" xfId="1" applyFont="1" applyBorder="1">
      <alignment vertical="center"/>
    </xf>
    <xf numFmtId="164" fontId="0" fillId="0" borderId="0" xfId="1" applyFont="1" applyFill="1" applyBorder="1">
      <alignment vertical="center"/>
    </xf>
    <xf numFmtId="164" fontId="0" fillId="0" borderId="0" xfId="1" applyFont="1">
      <alignment vertical="center"/>
    </xf>
    <xf numFmtId="167" fontId="3" fillId="0" borderId="10" xfId="0" applyNumberFormat="1" applyFont="1" applyBorder="1">
      <alignment vertical="center"/>
    </xf>
    <xf numFmtId="164" fontId="6" fillId="0" borderId="14" xfId="1" applyFont="1" applyBorder="1">
      <alignment vertical="center"/>
    </xf>
    <xf numFmtId="0" fontId="6" fillId="0" borderId="14" xfId="0" applyFont="1" applyBorder="1">
      <alignment vertical="center"/>
    </xf>
    <xf numFmtId="166" fontId="6" fillId="0" borderId="14" xfId="0" applyNumberFormat="1" applyFont="1" applyBorder="1">
      <alignment vertical="center"/>
    </xf>
    <xf numFmtId="0" fontId="6" fillId="0" borderId="0" xfId="0" applyFont="1">
      <alignment vertical="center"/>
    </xf>
    <xf numFmtId="164" fontId="6" fillId="0" borderId="0" xfId="1" applyFont="1" applyBorder="1">
      <alignment vertical="center"/>
    </xf>
    <xf numFmtId="166" fontId="6" fillId="0" borderId="0" xfId="0" applyNumberFormat="1" applyFont="1">
      <alignment vertical="center"/>
    </xf>
    <xf numFmtId="166" fontId="6" fillId="0" borderId="10" xfId="0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167" fontId="6" fillId="0" borderId="10" xfId="0" applyNumberFormat="1" applyFont="1" applyBorder="1">
      <alignment vertical="center"/>
    </xf>
    <xf numFmtId="167" fontId="3" fillId="0" borderId="0" xfId="0" applyNumberFormat="1" applyFont="1">
      <alignment vertical="center"/>
    </xf>
    <xf numFmtId="167" fontId="6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66" fontId="10" fillId="0" borderId="0" xfId="0" applyNumberFormat="1" applyFont="1">
      <alignment vertical="center"/>
    </xf>
    <xf numFmtId="167" fontId="10" fillId="0" borderId="10" xfId="0" applyNumberFormat="1" applyFont="1" applyBorder="1">
      <alignment vertical="center"/>
    </xf>
    <xf numFmtId="0" fontId="11" fillId="0" borderId="0" xfId="0" applyFont="1">
      <alignment vertical="center"/>
    </xf>
    <xf numFmtId="0" fontId="9" fillId="0" borderId="15" xfId="0" applyFont="1" applyBorder="1" applyProtection="1">
      <alignment vertical="center"/>
      <protection locked="0"/>
    </xf>
    <xf numFmtId="0" fontId="11" fillId="0" borderId="15" xfId="0" applyFont="1" applyBorder="1" applyProtection="1">
      <alignment vertical="center"/>
      <protection locked="0"/>
    </xf>
    <xf numFmtId="167" fontId="11" fillId="0" borderId="15" xfId="0" applyNumberFormat="1" applyFont="1" applyBorder="1" applyProtection="1">
      <alignment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164" fontId="11" fillId="0" borderId="15" xfId="1" applyFont="1" applyBorder="1" applyProtection="1">
      <alignment vertical="center"/>
      <protection locked="0"/>
    </xf>
    <xf numFmtId="164" fontId="9" fillId="0" borderId="15" xfId="1" applyFont="1" applyBorder="1" applyProtection="1">
      <alignment vertical="center"/>
      <protection locked="0"/>
    </xf>
    <xf numFmtId="0" fontId="3" fillId="0" borderId="4" xfId="0" applyFont="1" applyBorder="1" applyAlignment="1">
      <alignment vertical="center" shrinkToFit="1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vertical="center"/>
    </xf>
    <xf numFmtId="169" fontId="3" fillId="0" borderId="0" xfId="1" applyNumberFormat="1" applyFont="1" applyBorder="1" applyAlignment="1">
      <alignment vertical="center"/>
    </xf>
    <xf numFmtId="170" fontId="3" fillId="0" borderId="10" xfId="1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>
      <alignment vertical="center"/>
    </xf>
    <xf numFmtId="168" fontId="6" fillId="0" borderId="14" xfId="1" applyNumberFormat="1" applyFont="1" applyBorder="1" applyAlignment="1">
      <alignment vertical="center"/>
    </xf>
    <xf numFmtId="168" fontId="6" fillId="0" borderId="13" xfId="1" applyNumberFormat="1" applyFont="1" applyBorder="1" applyAlignment="1">
      <alignment vertical="center"/>
    </xf>
    <xf numFmtId="166" fontId="6" fillId="0" borderId="10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15" xfId="0" applyFont="1" applyBorder="1">
      <alignment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1" fontId="10" fillId="0" borderId="15" xfId="0" applyNumberFormat="1" applyFont="1" applyBorder="1">
      <alignment vertical="center"/>
    </xf>
    <xf numFmtId="171" fontId="11" fillId="0" borderId="15" xfId="0" applyNumberFormat="1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0" xfId="0" applyBorder="1" applyProtection="1">
      <alignment vertical="center"/>
      <protection locked="0"/>
    </xf>
    <xf numFmtId="164" fontId="6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5" xfId="0" applyFont="1" applyBorder="1" applyAlignment="1" applyProtection="1">
      <alignment horizontal="left" vertical="center"/>
      <protection locked="0"/>
    </xf>
    <xf numFmtId="164" fontId="9" fillId="0" borderId="15" xfId="0" applyNumberFormat="1" applyFont="1" applyBorder="1">
      <alignment vertical="center"/>
    </xf>
    <xf numFmtId="0" fontId="9" fillId="0" borderId="15" xfId="0" applyFont="1" applyBorder="1">
      <alignment vertical="center"/>
    </xf>
    <xf numFmtId="0" fontId="11" fillId="0" borderId="15" xfId="0" applyFont="1" applyBorder="1">
      <alignment vertical="center"/>
    </xf>
    <xf numFmtId="164" fontId="11" fillId="0" borderId="15" xfId="1" applyFont="1" applyBorder="1" applyAlignment="1" applyProtection="1">
      <alignment horizontal="center" vertical="center"/>
      <protection locked="0"/>
    </xf>
    <xf numFmtId="168" fontId="9" fillId="0" borderId="15" xfId="1" applyNumberFormat="1" applyFont="1" applyBorder="1" applyAlignment="1">
      <alignment horizontal="center" vertical="center"/>
    </xf>
    <xf numFmtId="164" fontId="9" fillId="0" borderId="15" xfId="1" applyFont="1" applyBorder="1" applyAlignment="1" applyProtection="1">
      <alignment horizontal="center" vertical="center"/>
      <protection locked="0"/>
    </xf>
    <xf numFmtId="0" fontId="11" fillId="2" borderId="15" xfId="0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7" fontId="9" fillId="0" borderId="15" xfId="0" applyNumberFormat="1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left" vertical="center" shrinkToFi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2" fontId="10" fillId="0" borderId="16" xfId="0" applyNumberFormat="1" applyFont="1" applyBorder="1" applyAlignment="1">
      <alignment horizontal="center" vertical="center"/>
    </xf>
    <xf numFmtId="172" fontId="10" fillId="0" borderId="18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1" fontId="9" fillId="0" borderId="16" xfId="0" applyNumberFormat="1" applyFont="1" applyBorder="1" applyAlignment="1">
      <alignment horizontal="center" vertical="center"/>
    </xf>
    <xf numFmtId="171" fontId="9" fillId="0" borderId="17" xfId="0" applyNumberFormat="1" applyFont="1" applyBorder="1" applyAlignment="1">
      <alignment horizontal="center" vertical="center"/>
    </xf>
    <xf numFmtId="173" fontId="9" fillId="0" borderId="16" xfId="0" applyNumberFormat="1" applyFont="1" applyBorder="1" applyAlignment="1">
      <alignment horizontal="center" vertical="center"/>
    </xf>
    <xf numFmtId="173" fontId="9" fillId="0" borderId="17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y/Documents/&#51228;&#51060;&#48708;&#49556;&#47336;&#49496;%20&#51452;&#49885;&#54924;&#49324;/OUTBOUND/JBS20211018-001/JBS20211018-001(V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BS20211018-001 INVOICE"/>
      <sheetName val="JBS20211018-001 PACKING"/>
      <sheetName val="PACKING DETAIL"/>
    </sheetNames>
    <sheetDataSet>
      <sheetData sheetId="0">
        <row r="21">
          <cell r="H21" t="str">
            <v>DJG-JBS20210901</v>
          </cell>
        </row>
        <row r="57">
          <cell r="J57" t="str">
            <v>DIRECTOR (KIM YOUNG GON)</v>
          </cell>
          <cell r="K57">
            <v>0</v>
          </cell>
          <cell r="L57">
            <v>0</v>
          </cell>
          <cell r="M57">
            <v>0</v>
          </cell>
        </row>
      </sheetData>
      <sheetData sheetId="1"/>
      <sheetData sheetId="2">
        <row r="167">
          <cell r="G167">
            <v>5919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6"/>
  <sheetViews>
    <sheetView zoomScale="85" zoomScaleNormal="85" zoomScaleSheetLayoutView="100" workbookViewId="0">
      <selection activeCell="J34" sqref="J34"/>
    </sheetView>
  </sheetViews>
  <sheetFormatPr defaultRowHeight="15"/>
  <cols>
    <col min="1" max="1" width="1.140625" customWidth="1"/>
    <col min="2" max="3" width="10.42578125" customWidth="1"/>
    <col min="4" max="4" width="10.140625" customWidth="1"/>
    <col min="5" max="5" width="13.28515625" customWidth="1"/>
    <col min="6" max="6" width="11.28515625" customWidth="1"/>
    <col min="7" max="7" width="9.85546875" customWidth="1"/>
    <col min="8" max="8" width="10.7109375" customWidth="1"/>
    <col min="9" max="9" width="10.140625" customWidth="1"/>
    <col min="11" max="11" width="13.7109375" bestFit="1" customWidth="1"/>
    <col min="13" max="13" width="14.85546875" bestFit="1" customWidth="1"/>
    <col min="14" max="14" width="1.42578125" customWidth="1"/>
  </cols>
  <sheetData>
    <row r="1" spans="2:13">
      <c r="B1" s="83" t="s">
        <v>43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2:13"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2:13"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2:13">
      <c r="B4" s="6" t="s">
        <v>0</v>
      </c>
      <c r="C4" s="7"/>
      <c r="D4" s="7"/>
      <c r="E4" s="7"/>
      <c r="F4" s="7"/>
      <c r="G4" s="7"/>
      <c r="H4" s="6" t="s">
        <v>4</v>
      </c>
      <c r="I4" s="7"/>
      <c r="J4" s="7"/>
      <c r="K4" s="7"/>
      <c r="L4" s="7"/>
      <c r="M4" s="8"/>
    </row>
    <row r="5" spans="2:13">
      <c r="B5" s="85" t="s">
        <v>41</v>
      </c>
      <c r="C5" s="86"/>
      <c r="D5" s="86"/>
      <c r="E5" s="86"/>
      <c r="F5" s="86"/>
      <c r="G5" s="86"/>
      <c r="H5" s="10" t="s">
        <v>174</v>
      </c>
      <c r="I5" s="11"/>
      <c r="J5" s="11"/>
      <c r="K5" s="11"/>
      <c r="L5" s="11"/>
      <c r="M5" s="12"/>
    </row>
    <row r="6" spans="2:13">
      <c r="B6" s="85" t="s">
        <v>17</v>
      </c>
      <c r="C6" s="86"/>
      <c r="D6" s="86"/>
      <c r="E6" s="86"/>
      <c r="F6" s="86"/>
      <c r="G6" s="86"/>
      <c r="H6" s="9" t="s">
        <v>5</v>
      </c>
      <c r="I6" s="7"/>
      <c r="J6" s="7"/>
      <c r="K6" s="7"/>
      <c r="L6" s="7"/>
      <c r="M6" s="8"/>
    </row>
    <row r="7" spans="2:13">
      <c r="B7" s="85" t="s">
        <v>16</v>
      </c>
      <c r="C7" s="86"/>
      <c r="D7" s="86"/>
      <c r="E7" s="86"/>
      <c r="F7" s="86"/>
      <c r="G7" s="86"/>
      <c r="H7" s="93"/>
      <c r="I7" s="94"/>
      <c r="J7" s="94"/>
      <c r="K7" s="94"/>
      <c r="L7" s="94"/>
      <c r="M7" s="95"/>
    </row>
    <row r="8" spans="2:13">
      <c r="B8" s="85">
        <v>47029</v>
      </c>
      <c r="C8" s="86"/>
      <c r="D8" s="86"/>
      <c r="E8" s="86"/>
      <c r="F8" s="86"/>
      <c r="G8" s="86"/>
      <c r="H8" s="96" t="s">
        <v>6</v>
      </c>
      <c r="I8" s="97"/>
      <c r="J8" s="97"/>
      <c r="K8" s="97"/>
      <c r="L8" s="97"/>
      <c r="M8" s="98"/>
    </row>
    <row r="9" spans="2:13">
      <c r="B9" s="85" t="s">
        <v>18</v>
      </c>
      <c r="C9" s="86"/>
      <c r="D9" s="86"/>
      <c r="E9" s="86"/>
      <c r="F9" s="86"/>
      <c r="G9" s="86"/>
      <c r="H9" s="90" t="s">
        <v>28</v>
      </c>
      <c r="I9" s="91"/>
      <c r="J9" s="91"/>
      <c r="K9" s="91"/>
      <c r="L9" s="91"/>
      <c r="M9" s="92"/>
    </row>
    <row r="10" spans="2:13">
      <c r="B10" s="85" t="s">
        <v>19</v>
      </c>
      <c r="C10" s="86"/>
      <c r="D10" s="86"/>
      <c r="E10" s="86"/>
      <c r="F10" s="86"/>
      <c r="G10" s="86"/>
      <c r="H10" s="87"/>
      <c r="I10" s="88"/>
      <c r="J10" s="88"/>
      <c r="K10" s="88"/>
      <c r="L10" s="88"/>
      <c r="M10" s="89"/>
    </row>
    <row r="11" spans="2:13">
      <c r="B11" s="6" t="s">
        <v>3</v>
      </c>
      <c r="C11" s="7"/>
      <c r="D11" s="7"/>
      <c r="E11" s="7"/>
      <c r="F11" s="7"/>
      <c r="G11" s="7"/>
      <c r="H11" s="15" t="s">
        <v>7</v>
      </c>
      <c r="I11" s="13"/>
      <c r="J11" s="13"/>
      <c r="K11" s="13"/>
      <c r="L11" s="13"/>
      <c r="M11" s="14"/>
    </row>
    <row r="12" spans="2:13">
      <c r="B12" s="85" t="s">
        <v>20</v>
      </c>
      <c r="C12" s="86"/>
      <c r="D12" s="86"/>
      <c r="E12" s="86"/>
      <c r="F12" s="86"/>
      <c r="G12" s="86"/>
      <c r="H12" s="87" t="s">
        <v>13</v>
      </c>
      <c r="I12" s="88"/>
      <c r="J12" s="88"/>
      <c r="K12" s="88"/>
      <c r="L12" s="88"/>
      <c r="M12" s="89"/>
    </row>
    <row r="13" spans="2:13">
      <c r="B13" s="85" t="s">
        <v>72</v>
      </c>
      <c r="C13" s="86"/>
      <c r="D13" s="86"/>
      <c r="E13" s="86"/>
      <c r="F13" s="86"/>
      <c r="G13" s="86"/>
      <c r="H13" s="16" t="s">
        <v>8</v>
      </c>
      <c r="I13" s="17"/>
      <c r="J13" s="17"/>
      <c r="K13" s="17"/>
      <c r="L13" s="17"/>
      <c r="M13" s="18"/>
    </row>
    <row r="14" spans="2:13">
      <c r="B14" s="85" t="s">
        <v>73</v>
      </c>
      <c r="C14" s="86"/>
      <c r="D14" s="86"/>
      <c r="E14" s="86"/>
      <c r="F14" s="86"/>
      <c r="G14" s="86"/>
      <c r="H14" s="85"/>
      <c r="I14" s="86"/>
      <c r="J14" s="86"/>
      <c r="K14" s="86"/>
      <c r="L14" s="86"/>
      <c r="M14" s="99"/>
    </row>
    <row r="15" spans="2:13">
      <c r="B15" s="85" t="s">
        <v>21</v>
      </c>
      <c r="C15" s="86"/>
      <c r="D15" s="86"/>
      <c r="E15" s="86"/>
      <c r="F15" s="86"/>
      <c r="G15" s="86"/>
      <c r="H15" s="85"/>
      <c r="I15" s="86"/>
      <c r="J15" s="86"/>
      <c r="K15" s="86"/>
      <c r="L15" s="86"/>
      <c r="M15" s="99"/>
    </row>
    <row r="16" spans="2:13">
      <c r="B16" s="85" t="s">
        <v>22</v>
      </c>
      <c r="C16" s="86"/>
      <c r="D16" s="86"/>
      <c r="E16" s="86"/>
      <c r="F16" s="86"/>
      <c r="G16" s="86"/>
      <c r="H16" s="85"/>
      <c r="I16" s="86"/>
      <c r="J16" s="86"/>
      <c r="K16" s="86"/>
      <c r="L16" s="86"/>
      <c r="M16" s="99"/>
    </row>
    <row r="17" spans="2:13">
      <c r="B17" s="15"/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4"/>
    </row>
    <row r="18" spans="2:13">
      <c r="B18" s="15"/>
      <c r="C18" s="13"/>
      <c r="D18" s="13"/>
      <c r="E18" s="13"/>
      <c r="F18" s="13"/>
      <c r="G18" s="13"/>
      <c r="H18" s="93"/>
      <c r="I18" s="94"/>
      <c r="J18" s="94"/>
      <c r="K18" s="94"/>
      <c r="L18" s="94"/>
      <c r="M18" s="95"/>
    </row>
    <row r="19" spans="2:13">
      <c r="B19" s="6" t="s">
        <v>1</v>
      </c>
      <c r="C19" s="7"/>
      <c r="D19" s="7"/>
      <c r="E19" s="7"/>
      <c r="F19" s="7"/>
      <c r="G19" s="7"/>
      <c r="H19" s="85" t="s">
        <v>9</v>
      </c>
      <c r="I19" s="86"/>
      <c r="J19" s="86"/>
      <c r="K19" s="86"/>
      <c r="L19" s="86"/>
      <c r="M19" s="99"/>
    </row>
    <row r="20" spans="2:13">
      <c r="B20" s="85"/>
      <c r="C20" s="86"/>
      <c r="D20" s="86"/>
      <c r="E20" s="86"/>
      <c r="F20" s="86"/>
      <c r="G20" s="86"/>
      <c r="H20" s="85"/>
      <c r="I20" s="86"/>
      <c r="J20" s="86"/>
      <c r="K20" s="86"/>
      <c r="L20" s="86"/>
      <c r="M20" s="99"/>
    </row>
    <row r="21" spans="2:13">
      <c r="B21" s="85"/>
      <c r="C21" s="86"/>
      <c r="D21" s="86"/>
      <c r="E21" s="86"/>
      <c r="F21" s="86"/>
      <c r="G21" s="86"/>
      <c r="H21" s="85" t="s">
        <v>60</v>
      </c>
      <c r="I21" s="86"/>
      <c r="J21" s="86"/>
      <c r="K21" s="86"/>
      <c r="L21" s="86"/>
      <c r="M21" s="99"/>
    </row>
    <row r="22" spans="2:13">
      <c r="B22" s="85"/>
      <c r="C22" s="86"/>
      <c r="D22" s="86"/>
      <c r="E22" s="86"/>
      <c r="F22" s="86"/>
      <c r="G22" s="86"/>
      <c r="H22" s="85"/>
      <c r="I22" s="86"/>
      <c r="J22" s="86"/>
      <c r="K22" s="86"/>
      <c r="L22" s="86"/>
      <c r="M22" s="99"/>
    </row>
    <row r="23" spans="2:13">
      <c r="B23" s="6" t="s">
        <v>2</v>
      </c>
      <c r="C23" s="7"/>
      <c r="D23" s="7"/>
      <c r="E23" s="6" t="s">
        <v>26</v>
      </c>
      <c r="F23" s="7"/>
      <c r="G23" s="7"/>
      <c r="H23" s="85"/>
      <c r="I23" s="86"/>
      <c r="J23" s="86"/>
      <c r="K23" s="86"/>
      <c r="L23" s="86"/>
      <c r="M23" s="99"/>
    </row>
    <row r="24" spans="2:13">
      <c r="B24" s="85" t="s">
        <v>59</v>
      </c>
      <c r="C24" s="86"/>
      <c r="D24" s="86"/>
      <c r="E24" s="85" t="s">
        <v>58</v>
      </c>
      <c r="F24" s="86"/>
      <c r="G24" s="86"/>
      <c r="H24" s="90"/>
      <c r="I24" s="86"/>
      <c r="J24" s="86"/>
      <c r="K24" s="86"/>
      <c r="L24" s="86"/>
      <c r="M24" s="99"/>
    </row>
    <row r="25" spans="2:13">
      <c r="B25" s="93"/>
      <c r="C25" s="94"/>
      <c r="D25" s="94"/>
      <c r="E25" s="93"/>
      <c r="F25" s="94"/>
      <c r="G25" s="94"/>
      <c r="H25" s="85"/>
      <c r="I25" s="86"/>
      <c r="J25" s="86"/>
      <c r="K25" s="86"/>
      <c r="L25" s="86"/>
      <c r="M25" s="99"/>
    </row>
    <row r="26" spans="2:13">
      <c r="B26" s="9" t="s">
        <v>23</v>
      </c>
      <c r="C26" s="7"/>
      <c r="D26" s="7"/>
      <c r="E26" s="7" t="s">
        <v>29</v>
      </c>
      <c r="F26" s="7"/>
      <c r="G26" s="7"/>
      <c r="H26" s="7" t="s">
        <v>10</v>
      </c>
      <c r="I26" s="7"/>
      <c r="J26" s="7" t="s">
        <v>11</v>
      </c>
      <c r="K26" s="7"/>
      <c r="L26" s="7" t="s">
        <v>12</v>
      </c>
      <c r="M26" s="8"/>
    </row>
    <row r="27" spans="2:13">
      <c r="B27" s="10" t="s">
        <v>42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spans="2:13">
      <c r="B28" s="10" t="s">
        <v>33</v>
      </c>
      <c r="C28" s="11"/>
      <c r="D28" s="11"/>
      <c r="E28" s="11"/>
      <c r="F28" s="11"/>
      <c r="G28" s="11"/>
      <c r="H28" s="26"/>
      <c r="I28" s="11"/>
      <c r="J28" s="20"/>
      <c r="K28" s="40"/>
      <c r="L28" s="20"/>
      <c r="M28" s="30"/>
    </row>
    <row r="29" spans="2:13" ht="15.75" thickBot="1">
      <c r="B29" s="10"/>
      <c r="C29" s="11"/>
      <c r="D29" s="11"/>
      <c r="E29" s="11"/>
      <c r="F29" s="11"/>
      <c r="G29" s="11"/>
      <c r="H29" s="26"/>
      <c r="I29" s="11"/>
      <c r="J29" s="20"/>
      <c r="K29" s="20"/>
      <c r="L29" s="20"/>
      <c r="M29" s="30"/>
    </row>
    <row r="30" spans="2:13" ht="15.75" thickTop="1">
      <c r="B30" s="10"/>
      <c r="C30" s="11"/>
      <c r="D30" s="11"/>
      <c r="E30" s="11"/>
      <c r="F30" s="11"/>
      <c r="G30" s="32" t="s">
        <v>32</v>
      </c>
      <c r="H30" s="31">
        <f>DETAILS!E85</f>
        <v>1568400</v>
      </c>
      <c r="I30" s="32" t="s">
        <v>31</v>
      </c>
      <c r="J30" s="33"/>
      <c r="K30" s="33"/>
      <c r="L30" s="33"/>
      <c r="M30" s="41">
        <f>DETAILS!H85</f>
        <v>59923.600000000006</v>
      </c>
    </row>
    <row r="31" spans="2:13">
      <c r="B31" s="10"/>
      <c r="C31" s="11"/>
      <c r="D31" s="11"/>
      <c r="E31" s="11"/>
      <c r="F31" s="11"/>
      <c r="G31" s="42"/>
      <c r="H31" s="72">
        <f>DETAILS!E86</f>
        <v>130500</v>
      </c>
      <c r="I31" s="34" t="s">
        <v>63</v>
      </c>
      <c r="J31" s="43"/>
      <c r="K31" s="43"/>
      <c r="L31" s="43"/>
      <c r="M31" s="44"/>
    </row>
    <row r="32" spans="2:13">
      <c r="B32" s="10"/>
      <c r="C32" s="11"/>
      <c r="D32" s="11"/>
      <c r="E32" s="11"/>
      <c r="F32" s="11"/>
      <c r="G32" s="11"/>
      <c r="H32" s="35"/>
      <c r="I32" s="34"/>
      <c r="J32" s="20"/>
      <c r="K32" s="20"/>
      <c r="L32" s="20"/>
      <c r="M32" s="23"/>
    </row>
    <row r="33" spans="2:13">
      <c r="B33" s="10"/>
      <c r="C33" s="11"/>
      <c r="D33" s="11"/>
      <c r="E33" s="11"/>
      <c r="F33" s="34"/>
      <c r="G33" s="34"/>
      <c r="H33" s="35"/>
      <c r="I33" s="34"/>
      <c r="J33" s="36"/>
      <c r="K33" s="36"/>
      <c r="L33" s="36"/>
      <c r="M33" s="37"/>
    </row>
    <row r="34" spans="2:13">
      <c r="B34" s="10"/>
      <c r="C34" s="11"/>
      <c r="D34" s="11"/>
      <c r="E34" s="11"/>
      <c r="H34" s="28"/>
      <c r="I34" s="11"/>
      <c r="J34" s="21"/>
      <c r="K34" s="20"/>
      <c r="L34" s="20"/>
      <c r="M34" s="23"/>
    </row>
    <row r="35" spans="2:13">
      <c r="B35" s="10"/>
      <c r="C35" s="11"/>
      <c r="D35" s="11"/>
      <c r="E35" s="11"/>
      <c r="H35" s="28"/>
      <c r="I35" s="11"/>
      <c r="J35" s="21"/>
      <c r="K35" s="20"/>
      <c r="L35" s="20"/>
      <c r="M35" s="23"/>
    </row>
    <row r="36" spans="2:13" ht="16.5" customHeight="1">
      <c r="B36" s="4"/>
      <c r="F36" s="38"/>
      <c r="G36" s="19"/>
      <c r="H36" s="35"/>
      <c r="I36" s="34"/>
      <c r="J36" s="34"/>
      <c r="K36" s="36"/>
      <c r="L36" s="22"/>
      <c r="M36" s="37"/>
    </row>
    <row r="37" spans="2:13">
      <c r="B37" s="10"/>
      <c r="C37" s="11"/>
      <c r="D37" s="11"/>
      <c r="E37" s="11"/>
      <c r="F37" s="11"/>
      <c r="G37" s="11"/>
      <c r="H37" s="26"/>
      <c r="I37" s="11"/>
      <c r="J37" s="20"/>
      <c r="K37" s="20"/>
      <c r="L37" s="20"/>
      <c r="M37" s="30"/>
    </row>
    <row r="38" spans="2:13">
      <c r="B38" s="10"/>
      <c r="F38" s="34"/>
      <c r="G38" s="34"/>
      <c r="H38" s="35"/>
      <c r="I38" s="34"/>
      <c r="J38" s="36"/>
      <c r="K38" s="36"/>
      <c r="L38" s="36"/>
      <c r="M38" s="39"/>
    </row>
    <row r="39" spans="2:13">
      <c r="B39" s="10"/>
      <c r="H39" s="27"/>
      <c r="I39" s="11"/>
      <c r="J39" s="21"/>
      <c r="K39" s="21"/>
      <c r="L39" s="20"/>
      <c r="M39" s="30"/>
    </row>
    <row r="40" spans="2:13">
      <c r="B40" s="10"/>
      <c r="H40" s="27"/>
      <c r="I40" s="11"/>
      <c r="J40" s="21"/>
      <c r="K40" s="21"/>
      <c r="L40" s="20"/>
      <c r="M40" s="30"/>
    </row>
    <row r="41" spans="2:13">
      <c r="B41" s="10"/>
      <c r="H41" s="27"/>
      <c r="I41" s="11"/>
      <c r="J41" s="21"/>
      <c r="K41" s="21"/>
      <c r="L41" s="20"/>
      <c r="M41" s="30"/>
    </row>
    <row r="42" spans="2:13">
      <c r="B42" s="10"/>
      <c r="H42" s="27"/>
      <c r="I42" s="11"/>
      <c r="J42" s="21"/>
      <c r="K42" s="21"/>
      <c r="L42" s="20"/>
      <c r="M42" s="30"/>
    </row>
    <row r="43" spans="2:13">
      <c r="B43" s="10"/>
      <c r="H43" s="27"/>
      <c r="I43" s="11"/>
      <c r="J43" s="21"/>
      <c r="K43" s="21"/>
      <c r="L43" s="20"/>
      <c r="M43" s="30"/>
    </row>
    <row r="44" spans="2:13">
      <c r="B44" s="10"/>
      <c r="H44" s="28"/>
      <c r="I44" s="11"/>
      <c r="J44" s="21"/>
      <c r="K44" s="21"/>
      <c r="L44" s="20"/>
      <c r="M44" s="30"/>
    </row>
    <row r="45" spans="2:13">
      <c r="B45" s="10"/>
      <c r="H45" s="28"/>
      <c r="I45" s="11"/>
      <c r="J45" s="21"/>
      <c r="K45" s="21"/>
      <c r="L45" s="20"/>
      <c r="M45" s="30"/>
    </row>
    <row r="46" spans="2:13">
      <c r="B46" s="10"/>
      <c r="H46" s="28"/>
      <c r="I46" s="11"/>
      <c r="J46" s="21"/>
      <c r="K46" s="21"/>
      <c r="L46" s="20"/>
      <c r="M46" s="30"/>
    </row>
    <row r="47" spans="2:13">
      <c r="B47" s="10"/>
      <c r="H47" s="28"/>
      <c r="I47" s="11"/>
      <c r="J47" s="21"/>
      <c r="K47" s="21"/>
      <c r="L47" s="20"/>
      <c r="M47" s="23"/>
    </row>
    <row r="48" spans="2:13">
      <c r="B48" s="10"/>
      <c r="H48" s="28"/>
      <c r="I48" s="11"/>
      <c r="J48" s="21"/>
      <c r="K48" s="21"/>
      <c r="L48" s="20"/>
      <c r="M48" s="23"/>
    </row>
    <row r="49" spans="2:13">
      <c r="B49" s="10"/>
      <c r="H49" s="27"/>
      <c r="I49" s="11"/>
      <c r="J49" s="21"/>
      <c r="K49" s="21"/>
      <c r="L49" s="20"/>
      <c r="M49" s="23"/>
    </row>
    <row r="50" spans="2:13">
      <c r="B50" s="10"/>
      <c r="H50" s="29"/>
      <c r="K50" s="20"/>
      <c r="M50" s="23"/>
    </row>
    <row r="51" spans="2:13">
      <c r="B51" s="10"/>
      <c r="H51" s="27"/>
      <c r="I51" s="11"/>
      <c r="J51" s="21"/>
      <c r="K51" s="20"/>
      <c r="L51" s="20"/>
      <c r="M51" s="23"/>
    </row>
    <row r="52" spans="2:13">
      <c r="B52" s="10"/>
      <c r="H52" s="27"/>
      <c r="I52" s="11"/>
      <c r="J52" s="21"/>
      <c r="K52" s="20"/>
      <c r="L52" s="20"/>
      <c r="M52" s="23"/>
    </row>
    <row r="53" spans="2:13">
      <c r="B53" s="10"/>
      <c r="H53" s="27"/>
      <c r="K53" s="20"/>
      <c r="M53" s="23"/>
    </row>
    <row r="54" spans="2:13" ht="16.5" customHeight="1">
      <c r="B54" s="10"/>
      <c r="E54" s="11"/>
      <c r="G54" s="24"/>
      <c r="H54" s="26"/>
      <c r="I54" s="11"/>
      <c r="J54" s="11"/>
      <c r="K54" s="20"/>
      <c r="L54" s="27"/>
      <c r="M54" s="23"/>
    </row>
    <row r="55" spans="2:13" ht="16.5" customHeight="1">
      <c r="B55" s="10"/>
      <c r="E55" s="11"/>
      <c r="G55" s="25"/>
      <c r="H55" s="26"/>
      <c r="I55" s="11"/>
      <c r="J55" s="11"/>
      <c r="K55" s="20"/>
      <c r="L55" s="27"/>
      <c r="M55" s="23"/>
    </row>
    <row r="56" spans="2:13" ht="16.5" customHeight="1">
      <c r="B56" s="4"/>
      <c r="F56" s="19"/>
      <c r="G56" s="19"/>
      <c r="L56" s="22"/>
      <c r="M56" s="5"/>
    </row>
    <row r="57" spans="2:13" ht="16.5" customHeight="1">
      <c r="B57" s="4"/>
      <c r="F57" s="19"/>
      <c r="G57" s="19"/>
      <c r="L57" s="22"/>
      <c r="M57" s="5"/>
    </row>
    <row r="58" spans="2:13" ht="16.5" customHeight="1">
      <c r="B58" s="4"/>
      <c r="F58" s="19"/>
      <c r="G58" s="19"/>
      <c r="L58" s="22"/>
      <c r="M58" s="5"/>
    </row>
    <row r="59" spans="2:13">
      <c r="B59" s="4"/>
      <c r="M59" s="5"/>
    </row>
    <row r="60" spans="2:13">
      <c r="B60" s="4"/>
      <c r="D60" s="104"/>
      <c r="E60" s="104"/>
      <c r="F60" s="104"/>
      <c r="J60" s="104"/>
      <c r="K60" s="104"/>
      <c r="L60" s="104"/>
      <c r="M60" s="106"/>
    </row>
    <row r="61" spans="2:13">
      <c r="B61" s="4"/>
      <c r="D61" s="104"/>
      <c r="E61" s="104"/>
      <c r="F61" s="104"/>
      <c r="J61" s="104"/>
      <c r="K61" s="104"/>
      <c r="L61" s="104"/>
      <c r="M61" s="106"/>
    </row>
    <row r="62" spans="2:13">
      <c r="B62" s="4"/>
      <c r="D62" s="104"/>
      <c r="E62" s="104"/>
      <c r="F62" s="104"/>
      <c r="J62" s="104"/>
      <c r="K62" s="104"/>
      <c r="L62" s="104"/>
      <c r="M62" s="106"/>
    </row>
    <row r="63" spans="2:13" ht="15.75" thickBot="1">
      <c r="B63" s="100" t="s">
        <v>14</v>
      </c>
      <c r="C63" s="101"/>
      <c r="D63" s="105"/>
      <c r="E63" s="105"/>
      <c r="F63" s="105"/>
      <c r="H63" s="101" t="s">
        <v>15</v>
      </c>
      <c r="I63" s="101"/>
      <c r="J63" s="105"/>
      <c r="K63" s="105"/>
      <c r="L63" s="105"/>
      <c r="M63" s="107"/>
    </row>
    <row r="64" spans="2:13">
      <c r="B64" s="100"/>
      <c r="C64" s="101"/>
      <c r="D64" s="102" t="s">
        <v>27</v>
      </c>
      <c r="E64" s="102"/>
      <c r="F64" s="102"/>
      <c r="H64" s="101"/>
      <c r="I64" s="101"/>
      <c r="J64" s="102" t="s">
        <v>24</v>
      </c>
      <c r="K64" s="102"/>
      <c r="L64" s="102"/>
      <c r="M64" s="103"/>
    </row>
    <row r="65" spans="2:13">
      <c r="B65" s="4"/>
      <c r="D65" t="s">
        <v>56</v>
      </c>
      <c r="J65" t="s">
        <v>25</v>
      </c>
      <c r="M65" s="5"/>
    </row>
    <row r="66" spans="2:13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</row>
  </sheetData>
  <mergeCells count="39">
    <mergeCell ref="B63:C64"/>
    <mergeCell ref="D64:F64"/>
    <mergeCell ref="J64:M64"/>
    <mergeCell ref="D60:F63"/>
    <mergeCell ref="J60:M63"/>
    <mergeCell ref="H63:I64"/>
    <mergeCell ref="H18:M18"/>
    <mergeCell ref="B24:D25"/>
    <mergeCell ref="H24:M24"/>
    <mergeCell ref="H25:M25"/>
    <mergeCell ref="H23:M23"/>
    <mergeCell ref="E24:G25"/>
    <mergeCell ref="H19:M19"/>
    <mergeCell ref="H20:M20"/>
    <mergeCell ref="H21:M21"/>
    <mergeCell ref="H22:M22"/>
    <mergeCell ref="B20:G20"/>
    <mergeCell ref="B21:G21"/>
    <mergeCell ref="B22:G22"/>
    <mergeCell ref="B13:G13"/>
    <mergeCell ref="B14:G14"/>
    <mergeCell ref="B16:G16"/>
    <mergeCell ref="B15:G15"/>
    <mergeCell ref="H15:M15"/>
    <mergeCell ref="H14:M14"/>
    <mergeCell ref="H16:M16"/>
    <mergeCell ref="B1:M3"/>
    <mergeCell ref="B5:G5"/>
    <mergeCell ref="B6:G6"/>
    <mergeCell ref="B12:G12"/>
    <mergeCell ref="H10:M10"/>
    <mergeCell ref="B10:G10"/>
    <mergeCell ref="H12:M12"/>
    <mergeCell ref="B9:G9"/>
    <mergeCell ref="B7:G7"/>
    <mergeCell ref="B8:G8"/>
    <mergeCell ref="H9:M9"/>
    <mergeCell ref="H7:M7"/>
    <mergeCell ref="H8:M8"/>
  </mergeCells>
  <phoneticPr fontId="1" type="noConversion"/>
  <pageMargins left="0.62992125984251968" right="0.62992125984251968" top="0.74803149606299213" bottom="0.74803149606299213" header="0.31496062992125984" footer="0.31496062992125984"/>
  <pageSetup paperSize="9" scale="61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zoomScaleNormal="100" workbookViewId="0">
      <selection activeCell="K7" sqref="K7"/>
    </sheetView>
  </sheetViews>
  <sheetFormatPr defaultColWidth="8.85546875" defaultRowHeight="12.75"/>
  <cols>
    <col min="1" max="1" width="5.85546875" style="45" customWidth="1"/>
    <col min="2" max="2" width="25.140625" style="45" bestFit="1" customWidth="1"/>
    <col min="3" max="3" width="16.5703125" style="45" bestFit="1" customWidth="1"/>
    <col min="4" max="4" width="11.42578125" style="45" customWidth="1"/>
    <col min="5" max="5" width="10.7109375" style="45" bestFit="1" customWidth="1"/>
    <col min="6" max="6" width="8.85546875" style="45"/>
    <col min="7" max="7" width="10.28515625" style="45" bestFit="1" customWidth="1"/>
    <col min="8" max="8" width="12.85546875" style="45" bestFit="1" customWidth="1"/>
    <col min="9" max="9" width="16.140625" style="45" bestFit="1" customWidth="1"/>
    <col min="10" max="16384" width="8.85546875" style="45"/>
  </cols>
  <sheetData>
    <row r="1" spans="1:9" ht="15">
      <c r="A1" s="34" t="s">
        <v>108</v>
      </c>
    </row>
    <row r="2" spans="1:9">
      <c r="A2" s="46" t="s">
        <v>40</v>
      </c>
      <c r="B2" s="46" t="s">
        <v>34</v>
      </c>
      <c r="C2" s="46" t="s">
        <v>35</v>
      </c>
      <c r="D2" s="46" t="s">
        <v>57</v>
      </c>
      <c r="E2" s="46" t="s">
        <v>36</v>
      </c>
      <c r="F2" s="46" t="s">
        <v>37</v>
      </c>
      <c r="G2" s="46" t="s">
        <v>38</v>
      </c>
      <c r="H2" s="46" t="s">
        <v>39</v>
      </c>
      <c r="I2" s="77" t="s">
        <v>64</v>
      </c>
    </row>
    <row r="3" spans="1:9">
      <c r="A3" s="49">
        <v>1</v>
      </c>
      <c r="B3" s="47" t="s">
        <v>67</v>
      </c>
      <c r="C3" s="47" t="s">
        <v>110</v>
      </c>
      <c r="D3" s="47" t="s">
        <v>104</v>
      </c>
      <c r="E3" s="51">
        <v>3500</v>
      </c>
      <c r="F3" s="49" t="s">
        <v>30</v>
      </c>
      <c r="G3" s="48">
        <v>0.13400000000000001</v>
      </c>
      <c r="H3" s="48">
        <f t="shared" ref="H3" si="0">E3*G3</f>
        <v>469</v>
      </c>
      <c r="I3" s="78" t="s">
        <v>65</v>
      </c>
    </row>
    <row r="4" spans="1:9">
      <c r="A4" s="49">
        <v>2</v>
      </c>
      <c r="B4" s="47" t="s">
        <v>67</v>
      </c>
      <c r="C4" s="47" t="s">
        <v>111</v>
      </c>
      <c r="D4" s="47" t="s">
        <v>104</v>
      </c>
      <c r="E4" s="51">
        <v>15000</v>
      </c>
      <c r="F4" s="49" t="s">
        <v>30</v>
      </c>
      <c r="G4" s="48">
        <v>4.9000000000000002E-2</v>
      </c>
      <c r="H4" s="48">
        <f t="shared" ref="H4:H67" si="1">E4*G4</f>
        <v>735</v>
      </c>
      <c r="I4" s="78" t="s">
        <v>65</v>
      </c>
    </row>
    <row r="5" spans="1:9">
      <c r="A5" s="49">
        <v>3</v>
      </c>
      <c r="B5" s="47" t="s">
        <v>67</v>
      </c>
      <c r="C5" s="75" t="s">
        <v>112</v>
      </c>
      <c r="D5" s="47" t="s">
        <v>104</v>
      </c>
      <c r="E5" s="51">
        <v>6000</v>
      </c>
      <c r="F5" s="49" t="s">
        <v>30</v>
      </c>
      <c r="G5" s="48">
        <v>0.126</v>
      </c>
      <c r="H5" s="48">
        <f t="shared" si="1"/>
        <v>756</v>
      </c>
      <c r="I5" s="78" t="s">
        <v>65</v>
      </c>
    </row>
    <row r="6" spans="1:9">
      <c r="A6" s="49">
        <v>4</v>
      </c>
      <c r="B6" s="47" t="s">
        <v>67</v>
      </c>
      <c r="C6" s="75" t="s">
        <v>74</v>
      </c>
      <c r="D6" s="47" t="s">
        <v>104</v>
      </c>
      <c r="E6" s="51">
        <v>45000</v>
      </c>
      <c r="F6" s="49" t="s">
        <v>30</v>
      </c>
      <c r="G6" s="48">
        <v>0.10100000000000001</v>
      </c>
      <c r="H6" s="48">
        <f t="shared" si="1"/>
        <v>4545</v>
      </c>
      <c r="I6" s="78" t="s">
        <v>65</v>
      </c>
    </row>
    <row r="7" spans="1:9">
      <c r="A7" s="49">
        <v>5</v>
      </c>
      <c r="B7" s="47" t="s">
        <v>67</v>
      </c>
      <c r="C7" s="47" t="s">
        <v>113</v>
      </c>
      <c r="D7" s="47" t="s">
        <v>104</v>
      </c>
      <c r="E7" s="51">
        <v>8000</v>
      </c>
      <c r="F7" s="49" t="s">
        <v>30</v>
      </c>
      <c r="G7" s="48">
        <v>0.06</v>
      </c>
      <c r="H7" s="48">
        <f t="shared" si="1"/>
        <v>480</v>
      </c>
      <c r="I7" s="78" t="s">
        <v>65</v>
      </c>
    </row>
    <row r="8" spans="1:9">
      <c r="A8" s="49">
        <v>6</v>
      </c>
      <c r="B8" s="47" t="s">
        <v>67</v>
      </c>
      <c r="C8" s="47" t="s">
        <v>79</v>
      </c>
      <c r="D8" s="47" t="s">
        <v>104</v>
      </c>
      <c r="E8" s="51">
        <v>27000</v>
      </c>
      <c r="F8" s="49" t="s">
        <v>30</v>
      </c>
      <c r="G8" s="48">
        <v>0.157</v>
      </c>
      <c r="H8" s="48">
        <f t="shared" si="1"/>
        <v>4239</v>
      </c>
      <c r="I8" s="78" t="s">
        <v>65</v>
      </c>
    </row>
    <row r="9" spans="1:9">
      <c r="A9" s="49">
        <v>7</v>
      </c>
      <c r="B9" s="47" t="s">
        <v>67</v>
      </c>
      <c r="C9" s="47" t="s">
        <v>114</v>
      </c>
      <c r="D9" s="47" t="s">
        <v>104</v>
      </c>
      <c r="E9" s="51">
        <v>9000</v>
      </c>
      <c r="F9" s="49" t="s">
        <v>30</v>
      </c>
      <c r="G9" s="48">
        <v>0.12</v>
      </c>
      <c r="H9" s="48">
        <f t="shared" si="1"/>
        <v>1080</v>
      </c>
      <c r="I9" s="78" t="s">
        <v>65</v>
      </c>
    </row>
    <row r="10" spans="1:9">
      <c r="A10" s="49">
        <v>8</v>
      </c>
      <c r="B10" s="47" t="s">
        <v>67</v>
      </c>
      <c r="C10" s="47" t="s">
        <v>115</v>
      </c>
      <c r="D10" s="47" t="s">
        <v>104</v>
      </c>
      <c r="E10" s="51">
        <v>1500</v>
      </c>
      <c r="F10" s="49" t="s">
        <v>30</v>
      </c>
      <c r="G10" s="48">
        <v>0.17100000000000001</v>
      </c>
      <c r="H10" s="48">
        <f t="shared" si="1"/>
        <v>256.5</v>
      </c>
      <c r="I10" s="78" t="s">
        <v>65</v>
      </c>
    </row>
    <row r="11" spans="1:9">
      <c r="A11" s="49">
        <v>9</v>
      </c>
      <c r="B11" s="47" t="s">
        <v>67</v>
      </c>
      <c r="C11" s="47" t="s">
        <v>116</v>
      </c>
      <c r="D11" s="47" t="s">
        <v>104</v>
      </c>
      <c r="E11" s="51">
        <v>3000</v>
      </c>
      <c r="F11" s="49" t="s">
        <v>30</v>
      </c>
      <c r="G11" s="48">
        <v>4.7E-2</v>
      </c>
      <c r="H11" s="48">
        <f t="shared" si="1"/>
        <v>141</v>
      </c>
      <c r="I11" s="78" t="s">
        <v>65</v>
      </c>
    </row>
    <row r="12" spans="1:9">
      <c r="A12" s="49">
        <v>10</v>
      </c>
      <c r="B12" s="47" t="s">
        <v>67</v>
      </c>
      <c r="C12" s="47" t="s">
        <v>118</v>
      </c>
      <c r="D12" s="47" t="s">
        <v>117</v>
      </c>
      <c r="E12" s="51">
        <v>14000</v>
      </c>
      <c r="F12" s="49" t="s">
        <v>30</v>
      </c>
      <c r="G12" s="48">
        <v>5.7000000000000002E-2</v>
      </c>
      <c r="H12" s="48">
        <f t="shared" si="1"/>
        <v>798</v>
      </c>
      <c r="I12" s="78" t="s">
        <v>65</v>
      </c>
    </row>
    <row r="13" spans="1:9">
      <c r="A13" s="49">
        <v>11</v>
      </c>
      <c r="B13" s="47" t="s">
        <v>67</v>
      </c>
      <c r="C13" s="47" t="s">
        <v>80</v>
      </c>
      <c r="D13" s="47" t="s">
        <v>119</v>
      </c>
      <c r="E13" s="51">
        <v>12000</v>
      </c>
      <c r="F13" s="49" t="s">
        <v>30</v>
      </c>
      <c r="G13" s="48">
        <v>5.5E-2</v>
      </c>
      <c r="H13" s="48">
        <f t="shared" si="1"/>
        <v>660</v>
      </c>
      <c r="I13" s="78" t="s">
        <v>65</v>
      </c>
    </row>
    <row r="14" spans="1:9">
      <c r="A14" s="49">
        <v>12</v>
      </c>
      <c r="B14" s="47" t="s">
        <v>67</v>
      </c>
      <c r="C14" s="47" t="s">
        <v>120</v>
      </c>
      <c r="D14" s="47" t="s">
        <v>66</v>
      </c>
      <c r="E14" s="51">
        <v>9000</v>
      </c>
      <c r="F14" s="49" t="s">
        <v>30</v>
      </c>
      <c r="G14" s="48">
        <v>0.153</v>
      </c>
      <c r="H14" s="48">
        <f t="shared" si="1"/>
        <v>1377</v>
      </c>
      <c r="I14" s="78" t="s">
        <v>65</v>
      </c>
    </row>
    <row r="15" spans="1:9">
      <c r="A15" s="49">
        <v>13</v>
      </c>
      <c r="B15" s="47" t="s">
        <v>67</v>
      </c>
      <c r="C15" s="47" t="s">
        <v>121</v>
      </c>
      <c r="D15" s="47" t="s">
        <v>66</v>
      </c>
      <c r="E15" s="51">
        <v>2500</v>
      </c>
      <c r="F15" s="49" t="s">
        <v>30</v>
      </c>
      <c r="G15" s="48">
        <v>0.14499999999999999</v>
      </c>
      <c r="H15" s="48">
        <f t="shared" si="1"/>
        <v>362.5</v>
      </c>
      <c r="I15" s="78" t="s">
        <v>65</v>
      </c>
    </row>
    <row r="16" spans="1:9">
      <c r="A16" s="49">
        <v>14</v>
      </c>
      <c r="B16" s="47" t="s">
        <v>67</v>
      </c>
      <c r="C16" s="47" t="s">
        <v>122</v>
      </c>
      <c r="D16" s="47" t="s">
        <v>66</v>
      </c>
      <c r="E16" s="51">
        <v>20000</v>
      </c>
      <c r="F16" s="49" t="s">
        <v>30</v>
      </c>
      <c r="G16" s="48">
        <v>2.1000000000000001E-2</v>
      </c>
      <c r="H16" s="48">
        <f t="shared" si="1"/>
        <v>420</v>
      </c>
      <c r="I16" s="78" t="s">
        <v>65</v>
      </c>
    </row>
    <row r="17" spans="1:9">
      <c r="A17" s="49">
        <v>15</v>
      </c>
      <c r="B17" s="47" t="s">
        <v>67</v>
      </c>
      <c r="C17" s="47" t="s">
        <v>123</v>
      </c>
      <c r="D17" s="47" t="s">
        <v>66</v>
      </c>
      <c r="E17" s="51">
        <v>3000</v>
      </c>
      <c r="F17" s="49" t="s">
        <v>30</v>
      </c>
      <c r="G17" s="48">
        <v>0.26200000000000001</v>
      </c>
      <c r="H17" s="48">
        <f t="shared" si="1"/>
        <v>786</v>
      </c>
      <c r="I17" s="78" t="s">
        <v>65</v>
      </c>
    </row>
    <row r="18" spans="1:9">
      <c r="A18" s="49">
        <v>16</v>
      </c>
      <c r="B18" s="47" t="s">
        <v>68</v>
      </c>
      <c r="C18" s="47" t="s">
        <v>82</v>
      </c>
      <c r="D18" s="47" t="s">
        <v>104</v>
      </c>
      <c r="E18" s="51">
        <v>82500</v>
      </c>
      <c r="F18" s="49" t="s">
        <v>30</v>
      </c>
      <c r="G18" s="48">
        <v>1.7000000000000001E-2</v>
      </c>
      <c r="H18" s="48">
        <f t="shared" si="1"/>
        <v>1402.5</v>
      </c>
      <c r="I18" s="78" t="s">
        <v>65</v>
      </c>
    </row>
    <row r="19" spans="1:9">
      <c r="A19" s="49">
        <v>17</v>
      </c>
      <c r="B19" s="47" t="s">
        <v>68</v>
      </c>
      <c r="C19" s="47" t="s">
        <v>81</v>
      </c>
      <c r="D19" s="47" t="s">
        <v>104</v>
      </c>
      <c r="E19" s="51">
        <v>20000</v>
      </c>
      <c r="F19" s="49" t="s">
        <v>30</v>
      </c>
      <c r="G19" s="48">
        <v>1.4E-2</v>
      </c>
      <c r="H19" s="48">
        <f t="shared" si="1"/>
        <v>280</v>
      </c>
      <c r="I19" s="78" t="s">
        <v>65</v>
      </c>
    </row>
    <row r="20" spans="1:9">
      <c r="A20" s="49">
        <v>18</v>
      </c>
      <c r="B20" s="47" t="s">
        <v>68</v>
      </c>
      <c r="C20" s="47" t="s">
        <v>76</v>
      </c>
      <c r="D20" s="47" t="s">
        <v>104</v>
      </c>
      <c r="E20" s="51">
        <v>240000</v>
      </c>
      <c r="F20" s="49" t="s">
        <v>30</v>
      </c>
      <c r="G20" s="48">
        <v>8.9999999999999993E-3</v>
      </c>
      <c r="H20" s="48">
        <f t="shared" si="1"/>
        <v>2160</v>
      </c>
      <c r="I20" s="78" t="s">
        <v>65</v>
      </c>
    </row>
    <row r="21" spans="1:9">
      <c r="A21" s="49">
        <v>19</v>
      </c>
      <c r="B21" s="47" t="s">
        <v>68</v>
      </c>
      <c r="C21" s="47" t="s">
        <v>124</v>
      </c>
      <c r="D21" s="47" t="s">
        <v>104</v>
      </c>
      <c r="E21" s="51">
        <v>55200</v>
      </c>
      <c r="F21" s="49" t="s">
        <v>30</v>
      </c>
      <c r="G21" s="48">
        <v>2.1000000000000001E-2</v>
      </c>
      <c r="H21" s="48">
        <f t="shared" si="1"/>
        <v>1159.2</v>
      </c>
      <c r="I21" s="78" t="s">
        <v>65</v>
      </c>
    </row>
    <row r="22" spans="1:9">
      <c r="A22" s="49">
        <v>20</v>
      </c>
      <c r="B22" s="47" t="s">
        <v>68</v>
      </c>
      <c r="C22" s="47" t="s">
        <v>83</v>
      </c>
      <c r="D22" s="47" t="s">
        <v>104</v>
      </c>
      <c r="E22" s="51">
        <v>24000</v>
      </c>
      <c r="F22" s="49" t="s">
        <v>30</v>
      </c>
      <c r="G22" s="48">
        <v>1.0999999999999999E-2</v>
      </c>
      <c r="H22" s="48">
        <f t="shared" si="1"/>
        <v>264</v>
      </c>
      <c r="I22" s="78" t="s">
        <v>65</v>
      </c>
    </row>
    <row r="23" spans="1:9">
      <c r="A23" s="49">
        <v>21</v>
      </c>
      <c r="B23" s="47" t="s">
        <v>68</v>
      </c>
      <c r="C23" s="47" t="s">
        <v>84</v>
      </c>
      <c r="D23" s="47" t="s">
        <v>104</v>
      </c>
      <c r="E23" s="51">
        <v>35000</v>
      </c>
      <c r="F23" s="49" t="s">
        <v>30</v>
      </c>
      <c r="G23" s="48">
        <v>7.0000000000000001E-3</v>
      </c>
      <c r="H23" s="48">
        <f t="shared" si="1"/>
        <v>245</v>
      </c>
      <c r="I23" s="78" t="s">
        <v>65</v>
      </c>
    </row>
    <row r="24" spans="1:9">
      <c r="A24" s="49">
        <v>22</v>
      </c>
      <c r="B24" s="47" t="s">
        <v>68</v>
      </c>
      <c r="C24" s="47" t="s">
        <v>75</v>
      </c>
      <c r="D24" s="47" t="s">
        <v>104</v>
      </c>
      <c r="E24" s="51">
        <v>63000</v>
      </c>
      <c r="F24" s="49" t="s">
        <v>30</v>
      </c>
      <c r="G24" s="48">
        <v>8.0000000000000002E-3</v>
      </c>
      <c r="H24" s="48">
        <f t="shared" si="1"/>
        <v>504</v>
      </c>
      <c r="I24" s="78" t="s">
        <v>65</v>
      </c>
    </row>
    <row r="25" spans="1:9">
      <c r="A25" s="49">
        <v>23</v>
      </c>
      <c r="B25" s="47" t="s">
        <v>68</v>
      </c>
      <c r="C25" s="47" t="s">
        <v>125</v>
      </c>
      <c r="D25" s="47" t="s">
        <v>119</v>
      </c>
      <c r="E25" s="51">
        <v>42000</v>
      </c>
      <c r="F25" s="49" t="s">
        <v>30</v>
      </c>
      <c r="G25" s="48">
        <v>1.6E-2</v>
      </c>
      <c r="H25" s="48">
        <f t="shared" si="1"/>
        <v>672</v>
      </c>
      <c r="I25" s="78" t="s">
        <v>65</v>
      </c>
    </row>
    <row r="26" spans="1:9">
      <c r="A26" s="49">
        <v>24</v>
      </c>
      <c r="B26" s="47" t="s">
        <v>68</v>
      </c>
      <c r="C26" s="47" t="s">
        <v>85</v>
      </c>
      <c r="D26" s="47" t="s">
        <v>119</v>
      </c>
      <c r="E26" s="51">
        <v>90000</v>
      </c>
      <c r="F26" s="49" t="s">
        <v>30</v>
      </c>
      <c r="G26" s="48">
        <v>4.0000000000000001E-3</v>
      </c>
      <c r="H26" s="48">
        <f t="shared" si="1"/>
        <v>360</v>
      </c>
      <c r="I26" s="78" t="s">
        <v>65</v>
      </c>
    </row>
    <row r="27" spans="1:9">
      <c r="A27" s="49">
        <v>25</v>
      </c>
      <c r="B27" s="47" t="s">
        <v>68</v>
      </c>
      <c r="C27" s="47" t="s">
        <v>126</v>
      </c>
      <c r="D27" s="47" t="s">
        <v>66</v>
      </c>
      <c r="E27" s="51">
        <v>4000</v>
      </c>
      <c r="F27" s="49" t="s">
        <v>30</v>
      </c>
      <c r="G27" s="48">
        <v>3.7999999999999999E-2</v>
      </c>
      <c r="H27" s="48">
        <f t="shared" si="1"/>
        <v>152</v>
      </c>
      <c r="I27" s="78" t="s">
        <v>65</v>
      </c>
    </row>
    <row r="28" spans="1:9">
      <c r="A28" s="49">
        <v>26</v>
      </c>
      <c r="B28" s="47" t="s">
        <v>68</v>
      </c>
      <c r="C28" s="47" t="s">
        <v>127</v>
      </c>
      <c r="D28" s="47" t="s">
        <v>66</v>
      </c>
      <c r="E28" s="51">
        <v>50000</v>
      </c>
      <c r="F28" s="49" t="s">
        <v>30</v>
      </c>
      <c r="G28" s="48">
        <v>8.9999999999999993E-3</v>
      </c>
      <c r="H28" s="48">
        <f t="shared" si="1"/>
        <v>449.99999999999994</v>
      </c>
      <c r="I28" s="78" t="s">
        <v>65</v>
      </c>
    </row>
    <row r="29" spans="1:9">
      <c r="A29" s="49">
        <v>27</v>
      </c>
      <c r="B29" s="47" t="s">
        <v>68</v>
      </c>
      <c r="C29" s="47" t="s">
        <v>128</v>
      </c>
      <c r="D29" s="47" t="s">
        <v>66</v>
      </c>
      <c r="E29" s="51">
        <v>18000</v>
      </c>
      <c r="F29" s="49" t="s">
        <v>30</v>
      </c>
      <c r="G29" s="48">
        <v>8.0000000000000002E-3</v>
      </c>
      <c r="H29" s="48">
        <f t="shared" si="1"/>
        <v>144</v>
      </c>
      <c r="I29" s="78" t="s">
        <v>65</v>
      </c>
    </row>
    <row r="30" spans="1:9">
      <c r="A30" s="49">
        <v>28</v>
      </c>
      <c r="B30" s="47" t="s">
        <v>86</v>
      </c>
      <c r="C30" s="47" t="s">
        <v>87</v>
      </c>
      <c r="D30" s="47" t="s">
        <v>104</v>
      </c>
      <c r="E30" s="51">
        <v>19200</v>
      </c>
      <c r="F30" s="49" t="s">
        <v>30</v>
      </c>
      <c r="G30" s="48">
        <v>3.1E-2</v>
      </c>
      <c r="H30" s="48">
        <f t="shared" si="1"/>
        <v>595.20000000000005</v>
      </c>
      <c r="I30" s="78" t="s">
        <v>65</v>
      </c>
    </row>
    <row r="31" spans="1:9">
      <c r="A31" s="49">
        <v>29</v>
      </c>
      <c r="B31" s="47" t="s">
        <v>69</v>
      </c>
      <c r="C31" s="47" t="s">
        <v>70</v>
      </c>
      <c r="D31" s="47" t="s">
        <v>104</v>
      </c>
      <c r="E31" s="51">
        <v>112000</v>
      </c>
      <c r="F31" s="49" t="s">
        <v>30</v>
      </c>
      <c r="G31" s="48">
        <v>1.4E-2</v>
      </c>
      <c r="H31" s="48">
        <f t="shared" si="1"/>
        <v>1568</v>
      </c>
      <c r="I31" s="78" t="s">
        <v>65</v>
      </c>
    </row>
    <row r="32" spans="1:9">
      <c r="A32" s="49">
        <v>30</v>
      </c>
      <c r="B32" s="47" t="s">
        <v>129</v>
      </c>
      <c r="C32" s="75">
        <v>603841</v>
      </c>
      <c r="D32" s="47" t="s">
        <v>66</v>
      </c>
      <c r="E32" s="51">
        <v>400</v>
      </c>
      <c r="F32" s="49" t="s">
        <v>30</v>
      </c>
      <c r="G32" s="48">
        <v>2.9249999999999998</v>
      </c>
      <c r="H32" s="48">
        <f t="shared" si="1"/>
        <v>1170</v>
      </c>
      <c r="I32" s="78" t="s">
        <v>65</v>
      </c>
    </row>
    <row r="33" spans="1:9">
      <c r="A33" s="49">
        <v>31</v>
      </c>
      <c r="B33" s="47" t="s">
        <v>130</v>
      </c>
      <c r="C33" s="47" t="s">
        <v>131</v>
      </c>
      <c r="D33" s="47" t="s">
        <v>104</v>
      </c>
      <c r="E33" s="51">
        <v>16000</v>
      </c>
      <c r="F33" s="49" t="s">
        <v>30</v>
      </c>
      <c r="G33" s="48">
        <v>0.03</v>
      </c>
      <c r="H33" s="48">
        <f>E33*G33</f>
        <v>480</v>
      </c>
      <c r="I33" s="78" t="s">
        <v>65</v>
      </c>
    </row>
    <row r="34" spans="1:9">
      <c r="A34" s="49">
        <v>32</v>
      </c>
      <c r="B34" s="47" t="s">
        <v>130</v>
      </c>
      <c r="C34" s="47" t="s">
        <v>132</v>
      </c>
      <c r="D34" s="47" t="s">
        <v>104</v>
      </c>
      <c r="E34" s="51">
        <v>9600</v>
      </c>
      <c r="F34" s="49" t="s">
        <v>30</v>
      </c>
      <c r="G34" s="48">
        <v>2.7E-2</v>
      </c>
      <c r="H34" s="48">
        <f t="shared" si="1"/>
        <v>259.2</v>
      </c>
      <c r="I34" s="78" t="s">
        <v>65</v>
      </c>
    </row>
    <row r="35" spans="1:9">
      <c r="A35" s="49">
        <v>33</v>
      </c>
      <c r="B35" s="47" t="s">
        <v>130</v>
      </c>
      <c r="C35" s="47" t="s">
        <v>131</v>
      </c>
      <c r="D35" s="47" t="s">
        <v>104</v>
      </c>
      <c r="E35" s="51">
        <v>8000</v>
      </c>
      <c r="F35" s="49" t="s">
        <v>30</v>
      </c>
      <c r="G35" s="48">
        <v>0.03</v>
      </c>
      <c r="H35" s="48">
        <f t="shared" si="1"/>
        <v>240</v>
      </c>
      <c r="I35" s="78" t="s">
        <v>65</v>
      </c>
    </row>
    <row r="36" spans="1:9">
      <c r="A36" s="49">
        <v>34</v>
      </c>
      <c r="B36" s="47" t="s">
        <v>71</v>
      </c>
      <c r="C36" s="47" t="s">
        <v>133</v>
      </c>
      <c r="D36" s="47" t="s">
        <v>66</v>
      </c>
      <c r="E36" s="51">
        <v>20000</v>
      </c>
      <c r="F36" s="49" t="s">
        <v>30</v>
      </c>
      <c r="G36" s="48">
        <v>2.5000000000000001E-2</v>
      </c>
      <c r="H36" s="48">
        <f t="shared" si="1"/>
        <v>500</v>
      </c>
      <c r="I36" s="78" t="s">
        <v>65</v>
      </c>
    </row>
    <row r="37" spans="1:9">
      <c r="A37" s="49">
        <v>35</v>
      </c>
      <c r="B37" s="47" t="s">
        <v>71</v>
      </c>
      <c r="C37" s="47" t="s">
        <v>134</v>
      </c>
      <c r="D37" s="47" t="s">
        <v>66</v>
      </c>
      <c r="E37" s="51">
        <v>20000</v>
      </c>
      <c r="F37" s="49" t="s">
        <v>30</v>
      </c>
      <c r="G37" s="48">
        <v>1.7999999999999999E-2</v>
      </c>
      <c r="H37" s="48">
        <f t="shared" si="1"/>
        <v>360</v>
      </c>
      <c r="I37" s="78" t="s">
        <v>65</v>
      </c>
    </row>
    <row r="38" spans="1:9">
      <c r="A38" s="49">
        <v>36</v>
      </c>
      <c r="B38" s="47" t="s">
        <v>135</v>
      </c>
      <c r="C38" s="47" t="s">
        <v>136</v>
      </c>
      <c r="D38" s="47" t="s">
        <v>66</v>
      </c>
      <c r="E38" s="51">
        <v>50000</v>
      </c>
      <c r="F38" s="49" t="s">
        <v>30</v>
      </c>
      <c r="G38" s="48">
        <v>3.4000000000000002E-2</v>
      </c>
      <c r="H38" s="48">
        <f t="shared" si="1"/>
        <v>1700.0000000000002</v>
      </c>
      <c r="I38" s="78" t="s">
        <v>65</v>
      </c>
    </row>
    <row r="39" spans="1:9">
      <c r="A39" s="49">
        <v>37</v>
      </c>
      <c r="B39" s="47" t="s">
        <v>88</v>
      </c>
      <c r="C39" s="47" t="s">
        <v>89</v>
      </c>
      <c r="D39" s="47" t="s">
        <v>66</v>
      </c>
      <c r="E39" s="51">
        <v>500</v>
      </c>
      <c r="F39" s="49" t="s">
        <v>30</v>
      </c>
      <c r="G39" s="48">
        <v>2.4169999999999998</v>
      </c>
      <c r="H39" s="48">
        <f t="shared" si="1"/>
        <v>1208.5</v>
      </c>
      <c r="I39" s="78" t="s">
        <v>65</v>
      </c>
    </row>
    <row r="40" spans="1:9">
      <c r="A40" s="49">
        <v>38</v>
      </c>
      <c r="B40" s="47" t="s">
        <v>88</v>
      </c>
      <c r="C40" s="47" t="s">
        <v>90</v>
      </c>
      <c r="D40" s="47" t="s">
        <v>66</v>
      </c>
      <c r="E40" s="51">
        <v>500</v>
      </c>
      <c r="F40" s="49" t="s">
        <v>30</v>
      </c>
      <c r="G40" s="48">
        <v>2.4169999999999998</v>
      </c>
      <c r="H40" s="48">
        <f t="shared" si="1"/>
        <v>1208.5</v>
      </c>
      <c r="I40" s="78" t="s">
        <v>65</v>
      </c>
    </row>
    <row r="41" spans="1:9">
      <c r="A41" s="49">
        <v>39</v>
      </c>
      <c r="B41" s="47" t="s">
        <v>137</v>
      </c>
      <c r="C41" s="47" t="s">
        <v>138</v>
      </c>
      <c r="D41" s="47" t="s">
        <v>66</v>
      </c>
      <c r="E41" s="51">
        <v>5000</v>
      </c>
      <c r="F41" s="49" t="s">
        <v>30</v>
      </c>
      <c r="G41" s="48">
        <v>0.16500000000000001</v>
      </c>
      <c r="H41" s="48">
        <f t="shared" si="1"/>
        <v>825</v>
      </c>
      <c r="I41" s="78" t="s">
        <v>65</v>
      </c>
    </row>
    <row r="42" spans="1:9">
      <c r="A42" s="49">
        <v>40</v>
      </c>
      <c r="B42" s="47" t="s">
        <v>139</v>
      </c>
      <c r="C42" s="47" t="s">
        <v>140</v>
      </c>
      <c r="D42" s="47" t="s">
        <v>66</v>
      </c>
      <c r="E42" s="51">
        <v>12000</v>
      </c>
      <c r="F42" s="49" t="s">
        <v>62</v>
      </c>
      <c r="G42" s="48">
        <v>0.27900000000000003</v>
      </c>
      <c r="H42" s="48">
        <f t="shared" si="1"/>
        <v>3348.0000000000005</v>
      </c>
      <c r="I42" s="78" t="s">
        <v>65</v>
      </c>
    </row>
    <row r="43" spans="1:9">
      <c r="A43" s="49">
        <v>41</v>
      </c>
      <c r="B43" s="47" t="s">
        <v>139</v>
      </c>
      <c r="C43" s="47" t="s">
        <v>141</v>
      </c>
      <c r="D43" s="47" t="s">
        <v>66</v>
      </c>
      <c r="E43" s="51">
        <v>5000</v>
      </c>
      <c r="F43" s="49" t="s">
        <v>62</v>
      </c>
      <c r="G43" s="48">
        <v>0.13600000000000001</v>
      </c>
      <c r="H43" s="48">
        <f t="shared" si="1"/>
        <v>680</v>
      </c>
      <c r="I43" s="78" t="s">
        <v>65</v>
      </c>
    </row>
    <row r="44" spans="1:9">
      <c r="A44" s="49">
        <v>42</v>
      </c>
      <c r="B44" s="47" t="s">
        <v>142</v>
      </c>
      <c r="C44" s="47" t="s">
        <v>143</v>
      </c>
      <c r="D44" s="47" t="s">
        <v>119</v>
      </c>
      <c r="E44" s="51">
        <v>3000</v>
      </c>
      <c r="F44" s="49" t="s">
        <v>62</v>
      </c>
      <c r="G44" s="48">
        <v>3.3000000000000002E-2</v>
      </c>
      <c r="H44" s="48">
        <f t="shared" si="1"/>
        <v>99</v>
      </c>
      <c r="I44" s="78" t="s">
        <v>65</v>
      </c>
    </row>
    <row r="45" spans="1:9">
      <c r="A45" s="49">
        <v>43</v>
      </c>
      <c r="B45" s="47" t="s">
        <v>91</v>
      </c>
      <c r="C45" s="47" t="s">
        <v>144</v>
      </c>
      <c r="D45" s="47" t="s">
        <v>104</v>
      </c>
      <c r="E45" s="51">
        <v>30000</v>
      </c>
      <c r="F45" s="49" t="s">
        <v>30</v>
      </c>
      <c r="G45" s="48">
        <v>4.2999999999999997E-2</v>
      </c>
      <c r="H45" s="48">
        <f t="shared" si="1"/>
        <v>1290</v>
      </c>
      <c r="I45" s="78" t="s">
        <v>65</v>
      </c>
    </row>
    <row r="46" spans="1:9">
      <c r="A46" s="49">
        <v>44</v>
      </c>
      <c r="B46" s="47" t="s">
        <v>91</v>
      </c>
      <c r="C46" s="47" t="s">
        <v>145</v>
      </c>
      <c r="D46" s="47" t="s">
        <v>104</v>
      </c>
      <c r="E46" s="51">
        <v>14000</v>
      </c>
      <c r="F46" s="49" t="s">
        <v>30</v>
      </c>
      <c r="G46" s="48">
        <v>0.05</v>
      </c>
      <c r="H46" s="48">
        <f t="shared" si="1"/>
        <v>700</v>
      </c>
      <c r="I46" s="78" t="s">
        <v>65</v>
      </c>
    </row>
    <row r="47" spans="1:9">
      <c r="A47" s="49">
        <v>45</v>
      </c>
      <c r="B47" s="47" t="s">
        <v>91</v>
      </c>
      <c r="C47" s="47" t="s">
        <v>99</v>
      </c>
      <c r="D47" s="47" t="s">
        <v>104</v>
      </c>
      <c r="E47" s="51">
        <v>10000</v>
      </c>
      <c r="F47" s="49" t="s">
        <v>30</v>
      </c>
      <c r="G47" s="48">
        <v>5.8000000000000003E-2</v>
      </c>
      <c r="H47" s="48">
        <f t="shared" si="1"/>
        <v>580</v>
      </c>
      <c r="I47" s="78" t="s">
        <v>65</v>
      </c>
    </row>
    <row r="48" spans="1:9">
      <c r="A48" s="49">
        <v>46</v>
      </c>
      <c r="B48" s="47" t="s">
        <v>91</v>
      </c>
      <c r="C48" s="47" t="s">
        <v>77</v>
      </c>
      <c r="D48" s="47" t="s">
        <v>104</v>
      </c>
      <c r="E48" s="51">
        <v>30000</v>
      </c>
      <c r="F48" s="49" t="s">
        <v>30</v>
      </c>
      <c r="G48" s="48">
        <v>2.7E-2</v>
      </c>
      <c r="H48" s="48">
        <f t="shared" si="1"/>
        <v>810</v>
      </c>
      <c r="I48" s="78" t="s">
        <v>65</v>
      </c>
    </row>
    <row r="49" spans="1:9">
      <c r="A49" s="49">
        <v>47</v>
      </c>
      <c r="B49" s="47" t="s">
        <v>91</v>
      </c>
      <c r="C49" s="47" t="s">
        <v>146</v>
      </c>
      <c r="D49" s="47" t="s">
        <v>104</v>
      </c>
      <c r="E49" s="51">
        <v>10000</v>
      </c>
      <c r="F49" s="49" t="s">
        <v>30</v>
      </c>
      <c r="G49" s="48">
        <v>4.0000000000000001E-3</v>
      </c>
      <c r="H49" s="48">
        <f t="shared" si="1"/>
        <v>40</v>
      </c>
      <c r="I49" s="78" t="s">
        <v>65</v>
      </c>
    </row>
    <row r="50" spans="1:9">
      <c r="A50" s="49">
        <v>48</v>
      </c>
      <c r="B50" s="47" t="s">
        <v>91</v>
      </c>
      <c r="C50" s="47" t="s">
        <v>147</v>
      </c>
      <c r="D50" s="47" t="s">
        <v>104</v>
      </c>
      <c r="E50" s="51">
        <v>12000</v>
      </c>
      <c r="F50" s="49" t="s">
        <v>30</v>
      </c>
      <c r="G50" s="48">
        <v>1.2999999999999999E-2</v>
      </c>
      <c r="H50" s="48">
        <f t="shared" si="1"/>
        <v>156</v>
      </c>
      <c r="I50" s="78" t="s">
        <v>65</v>
      </c>
    </row>
    <row r="51" spans="1:9">
      <c r="A51" s="49">
        <v>49</v>
      </c>
      <c r="B51" s="47" t="s">
        <v>91</v>
      </c>
      <c r="C51" s="47" t="s">
        <v>93</v>
      </c>
      <c r="D51" s="47" t="s">
        <v>104</v>
      </c>
      <c r="E51" s="51">
        <v>4000</v>
      </c>
      <c r="F51" s="49" t="s">
        <v>30</v>
      </c>
      <c r="G51" s="48">
        <v>0.04</v>
      </c>
      <c r="H51" s="48">
        <f t="shared" si="1"/>
        <v>160</v>
      </c>
      <c r="I51" s="78" t="s">
        <v>65</v>
      </c>
    </row>
    <row r="52" spans="1:9">
      <c r="A52" s="49">
        <v>50</v>
      </c>
      <c r="B52" s="47" t="s">
        <v>91</v>
      </c>
      <c r="C52" s="47" t="s">
        <v>148</v>
      </c>
      <c r="D52" s="47" t="s">
        <v>104</v>
      </c>
      <c r="E52" s="51">
        <v>8000</v>
      </c>
      <c r="F52" s="49" t="s">
        <v>30</v>
      </c>
      <c r="G52" s="48">
        <v>4.2000000000000003E-2</v>
      </c>
      <c r="H52" s="48">
        <f t="shared" si="1"/>
        <v>336</v>
      </c>
      <c r="I52" s="78" t="s">
        <v>65</v>
      </c>
    </row>
    <row r="53" spans="1:9">
      <c r="A53" s="49">
        <v>51</v>
      </c>
      <c r="B53" s="47" t="s">
        <v>91</v>
      </c>
      <c r="C53" s="47" t="s">
        <v>149</v>
      </c>
      <c r="D53" s="47" t="s">
        <v>104</v>
      </c>
      <c r="E53" s="51">
        <v>4000</v>
      </c>
      <c r="F53" s="49" t="s">
        <v>30</v>
      </c>
      <c r="G53" s="48">
        <v>4.7E-2</v>
      </c>
      <c r="H53" s="48">
        <f t="shared" si="1"/>
        <v>188</v>
      </c>
      <c r="I53" s="78" t="s">
        <v>65</v>
      </c>
    </row>
    <row r="54" spans="1:9">
      <c r="A54" s="49">
        <v>52</v>
      </c>
      <c r="B54" s="47" t="s">
        <v>91</v>
      </c>
      <c r="C54" s="47" t="s">
        <v>150</v>
      </c>
      <c r="D54" s="47" t="s">
        <v>104</v>
      </c>
      <c r="E54" s="51">
        <v>30000</v>
      </c>
      <c r="F54" s="49" t="s">
        <v>30</v>
      </c>
      <c r="G54" s="48">
        <v>4.0000000000000001E-3</v>
      </c>
      <c r="H54" s="48">
        <f t="shared" si="1"/>
        <v>120</v>
      </c>
      <c r="I54" s="78" t="s">
        <v>65</v>
      </c>
    </row>
    <row r="55" spans="1:9">
      <c r="A55" s="49">
        <v>53</v>
      </c>
      <c r="B55" s="47" t="s">
        <v>91</v>
      </c>
      <c r="C55" s="47" t="s">
        <v>151</v>
      </c>
      <c r="D55" s="47" t="s">
        <v>104</v>
      </c>
      <c r="E55" s="51">
        <v>9000</v>
      </c>
      <c r="F55" s="49" t="s">
        <v>30</v>
      </c>
      <c r="G55" s="48">
        <v>4.9000000000000002E-2</v>
      </c>
      <c r="H55" s="48">
        <f t="shared" si="1"/>
        <v>441</v>
      </c>
      <c r="I55" s="78" t="s">
        <v>65</v>
      </c>
    </row>
    <row r="56" spans="1:9">
      <c r="A56" s="49">
        <v>54</v>
      </c>
      <c r="B56" s="47" t="s">
        <v>91</v>
      </c>
      <c r="C56" s="47" t="s">
        <v>95</v>
      </c>
      <c r="D56" s="47" t="s">
        <v>104</v>
      </c>
      <c r="E56" s="51">
        <v>6000</v>
      </c>
      <c r="F56" s="49" t="s">
        <v>30</v>
      </c>
      <c r="G56" s="48">
        <v>5.8000000000000003E-2</v>
      </c>
      <c r="H56" s="48">
        <f t="shared" si="1"/>
        <v>348</v>
      </c>
      <c r="I56" s="78" t="s">
        <v>65</v>
      </c>
    </row>
    <row r="57" spans="1:9">
      <c r="A57" s="49">
        <v>55</v>
      </c>
      <c r="B57" s="47" t="s">
        <v>91</v>
      </c>
      <c r="C57" s="47" t="s">
        <v>96</v>
      </c>
      <c r="D57" s="47" t="s">
        <v>104</v>
      </c>
      <c r="E57" s="51">
        <v>6000</v>
      </c>
      <c r="F57" s="49" t="s">
        <v>30</v>
      </c>
      <c r="G57" s="48">
        <v>6.3E-2</v>
      </c>
      <c r="H57" s="48">
        <f t="shared" si="1"/>
        <v>378</v>
      </c>
      <c r="I57" s="78" t="s">
        <v>65</v>
      </c>
    </row>
    <row r="58" spans="1:9">
      <c r="A58" s="49">
        <v>56</v>
      </c>
      <c r="B58" s="47" t="s">
        <v>91</v>
      </c>
      <c r="C58" s="47" t="s">
        <v>97</v>
      </c>
      <c r="D58" s="47" t="s">
        <v>104</v>
      </c>
      <c r="E58" s="51">
        <v>6000</v>
      </c>
      <c r="F58" s="49" t="s">
        <v>30</v>
      </c>
      <c r="G58" s="48">
        <v>7.5999999999999998E-2</v>
      </c>
      <c r="H58" s="48">
        <f t="shared" si="1"/>
        <v>456</v>
      </c>
      <c r="I58" s="78" t="s">
        <v>65</v>
      </c>
    </row>
    <row r="59" spans="1:9">
      <c r="A59" s="49">
        <v>57</v>
      </c>
      <c r="B59" s="47" t="s">
        <v>91</v>
      </c>
      <c r="C59" s="47" t="s">
        <v>152</v>
      </c>
      <c r="D59" s="47" t="s">
        <v>104</v>
      </c>
      <c r="E59" s="51">
        <v>4500</v>
      </c>
      <c r="F59" s="49" t="s">
        <v>30</v>
      </c>
      <c r="G59" s="48">
        <v>9.2999999999999999E-2</v>
      </c>
      <c r="H59" s="48">
        <f t="shared" si="1"/>
        <v>418.5</v>
      </c>
      <c r="I59" s="78" t="s">
        <v>65</v>
      </c>
    </row>
    <row r="60" spans="1:9">
      <c r="A60" s="49">
        <v>58</v>
      </c>
      <c r="B60" s="47" t="s">
        <v>91</v>
      </c>
      <c r="C60" s="47" t="s">
        <v>98</v>
      </c>
      <c r="D60" s="47" t="s">
        <v>104</v>
      </c>
      <c r="E60" s="51">
        <v>1500</v>
      </c>
      <c r="F60" s="49" t="s">
        <v>30</v>
      </c>
      <c r="G60" s="48">
        <v>9.7000000000000003E-2</v>
      </c>
      <c r="H60" s="48">
        <f t="shared" si="1"/>
        <v>145.5</v>
      </c>
      <c r="I60" s="78" t="s">
        <v>65</v>
      </c>
    </row>
    <row r="61" spans="1:9">
      <c r="A61" s="49">
        <v>59</v>
      </c>
      <c r="B61" s="47" t="s">
        <v>91</v>
      </c>
      <c r="C61" s="47" t="s">
        <v>153</v>
      </c>
      <c r="D61" s="47" t="s">
        <v>104</v>
      </c>
      <c r="E61" s="51">
        <v>10000</v>
      </c>
      <c r="F61" s="49" t="s">
        <v>30</v>
      </c>
      <c r="G61" s="48">
        <v>6.3E-2</v>
      </c>
      <c r="H61" s="48">
        <f t="shared" si="1"/>
        <v>630</v>
      </c>
      <c r="I61" s="78" t="s">
        <v>65</v>
      </c>
    </row>
    <row r="62" spans="1:9">
      <c r="A62" s="49">
        <v>60</v>
      </c>
      <c r="B62" s="47" t="s">
        <v>91</v>
      </c>
      <c r="C62" s="47" t="s">
        <v>154</v>
      </c>
      <c r="D62" s="47" t="s">
        <v>104</v>
      </c>
      <c r="E62" s="51">
        <v>16000</v>
      </c>
      <c r="F62" s="49" t="s">
        <v>30</v>
      </c>
      <c r="G62" s="48">
        <v>6.4000000000000001E-2</v>
      </c>
      <c r="H62" s="48">
        <f t="shared" si="1"/>
        <v>1024</v>
      </c>
      <c r="I62" s="78" t="s">
        <v>65</v>
      </c>
    </row>
    <row r="63" spans="1:9">
      <c r="A63" s="49">
        <v>61</v>
      </c>
      <c r="B63" s="47" t="s">
        <v>91</v>
      </c>
      <c r="C63" s="47" t="s">
        <v>94</v>
      </c>
      <c r="D63" s="47" t="s">
        <v>104</v>
      </c>
      <c r="E63" s="51">
        <v>2000</v>
      </c>
      <c r="F63" s="49" t="s">
        <v>30</v>
      </c>
      <c r="G63" s="48">
        <v>7.0000000000000007E-2</v>
      </c>
      <c r="H63" s="48">
        <f t="shared" si="1"/>
        <v>140</v>
      </c>
      <c r="I63" s="78" t="s">
        <v>65</v>
      </c>
    </row>
    <row r="64" spans="1:9">
      <c r="A64" s="49">
        <v>62</v>
      </c>
      <c r="B64" s="47" t="s">
        <v>91</v>
      </c>
      <c r="C64" s="47" t="s">
        <v>155</v>
      </c>
      <c r="D64" s="47" t="s">
        <v>104</v>
      </c>
      <c r="E64" s="51">
        <v>12000</v>
      </c>
      <c r="F64" s="49" t="s">
        <v>30</v>
      </c>
      <c r="G64" s="48">
        <v>7.3999999999999996E-2</v>
      </c>
      <c r="H64" s="48">
        <f t="shared" si="1"/>
        <v>888</v>
      </c>
      <c r="I64" s="78" t="s">
        <v>65</v>
      </c>
    </row>
    <row r="65" spans="1:9">
      <c r="A65" s="49">
        <v>63</v>
      </c>
      <c r="B65" s="47" t="s">
        <v>91</v>
      </c>
      <c r="C65" s="47" t="s">
        <v>78</v>
      </c>
      <c r="D65" s="47" t="s">
        <v>104</v>
      </c>
      <c r="E65" s="51">
        <v>12000</v>
      </c>
      <c r="F65" s="49" t="s">
        <v>30</v>
      </c>
      <c r="G65" s="48">
        <v>7.5999999999999998E-2</v>
      </c>
      <c r="H65" s="48">
        <f t="shared" si="1"/>
        <v>912</v>
      </c>
      <c r="I65" s="78" t="s">
        <v>65</v>
      </c>
    </row>
    <row r="66" spans="1:9">
      <c r="A66" s="49">
        <v>64</v>
      </c>
      <c r="B66" s="47" t="s">
        <v>91</v>
      </c>
      <c r="C66" s="47" t="s">
        <v>144</v>
      </c>
      <c r="D66" s="47" t="s">
        <v>104</v>
      </c>
      <c r="E66" s="51">
        <v>30000</v>
      </c>
      <c r="F66" s="49" t="s">
        <v>30</v>
      </c>
      <c r="G66" s="48">
        <v>4.2999999999999997E-2</v>
      </c>
      <c r="H66" s="48">
        <f t="shared" si="1"/>
        <v>1290</v>
      </c>
      <c r="I66" s="78" t="s">
        <v>65</v>
      </c>
    </row>
    <row r="67" spans="1:9">
      <c r="A67" s="49">
        <v>65</v>
      </c>
      <c r="B67" s="47" t="s">
        <v>91</v>
      </c>
      <c r="C67" s="47" t="s">
        <v>145</v>
      </c>
      <c r="D67" s="47" t="s">
        <v>104</v>
      </c>
      <c r="E67" s="51">
        <v>14000</v>
      </c>
      <c r="F67" s="49" t="s">
        <v>30</v>
      </c>
      <c r="G67" s="48">
        <v>0.05</v>
      </c>
      <c r="H67" s="48">
        <f t="shared" si="1"/>
        <v>700</v>
      </c>
      <c r="I67" s="78" t="s">
        <v>65</v>
      </c>
    </row>
    <row r="68" spans="1:9">
      <c r="A68" s="49">
        <v>66</v>
      </c>
      <c r="B68" s="47" t="s">
        <v>91</v>
      </c>
      <c r="C68" s="47" t="s">
        <v>77</v>
      </c>
      <c r="D68" s="47" t="s">
        <v>104</v>
      </c>
      <c r="E68" s="51">
        <v>30000</v>
      </c>
      <c r="F68" s="49" t="s">
        <v>30</v>
      </c>
      <c r="G68" s="48">
        <v>2.7E-2</v>
      </c>
      <c r="H68" s="48">
        <f t="shared" ref="H68:H84" si="2">E68*G68</f>
        <v>810</v>
      </c>
      <c r="I68" s="78" t="s">
        <v>65</v>
      </c>
    </row>
    <row r="69" spans="1:9">
      <c r="A69" s="49">
        <v>67</v>
      </c>
      <c r="B69" s="47" t="s">
        <v>91</v>
      </c>
      <c r="C69" s="47" t="s">
        <v>99</v>
      </c>
      <c r="D69" s="47" t="s">
        <v>104</v>
      </c>
      <c r="E69" s="51">
        <v>10000</v>
      </c>
      <c r="F69" s="49" t="s">
        <v>30</v>
      </c>
      <c r="G69" s="48">
        <v>5.8000000000000003E-2</v>
      </c>
      <c r="H69" s="48">
        <f t="shared" si="2"/>
        <v>580</v>
      </c>
      <c r="I69" s="78" t="s">
        <v>65</v>
      </c>
    </row>
    <row r="70" spans="1:9">
      <c r="A70" s="49">
        <v>68</v>
      </c>
      <c r="B70" s="47" t="s">
        <v>91</v>
      </c>
      <c r="C70" s="47" t="s">
        <v>92</v>
      </c>
      <c r="D70" s="47" t="s">
        <v>104</v>
      </c>
      <c r="E70" s="51">
        <v>12000</v>
      </c>
      <c r="F70" s="49" t="s">
        <v>30</v>
      </c>
      <c r="G70" s="48">
        <v>3.9E-2</v>
      </c>
      <c r="H70" s="48">
        <f t="shared" si="2"/>
        <v>468</v>
      </c>
      <c r="I70" s="78" t="s">
        <v>65</v>
      </c>
    </row>
    <row r="71" spans="1:9">
      <c r="A71" s="49">
        <v>69</v>
      </c>
      <c r="B71" s="47" t="s">
        <v>91</v>
      </c>
      <c r="C71" s="47" t="s">
        <v>156</v>
      </c>
      <c r="D71" s="47" t="s">
        <v>104</v>
      </c>
      <c r="E71" s="51">
        <v>12000</v>
      </c>
      <c r="F71" s="49" t="s">
        <v>30</v>
      </c>
      <c r="G71" s="48">
        <v>0.05</v>
      </c>
      <c r="H71" s="48">
        <f t="shared" si="2"/>
        <v>600</v>
      </c>
      <c r="I71" s="78" t="s">
        <v>65</v>
      </c>
    </row>
    <row r="72" spans="1:9">
      <c r="A72" s="49">
        <v>70</v>
      </c>
      <c r="B72" s="47" t="s">
        <v>91</v>
      </c>
      <c r="C72" s="47" t="s">
        <v>146</v>
      </c>
      <c r="D72" s="47" t="s">
        <v>104</v>
      </c>
      <c r="E72" s="51">
        <v>60000</v>
      </c>
      <c r="F72" s="49" t="s">
        <v>30</v>
      </c>
      <c r="G72" s="48">
        <v>4.0000000000000001E-3</v>
      </c>
      <c r="H72" s="48">
        <f t="shared" si="2"/>
        <v>240</v>
      </c>
      <c r="I72" s="78" t="s">
        <v>65</v>
      </c>
    </row>
    <row r="73" spans="1:9">
      <c r="A73" s="49">
        <v>71</v>
      </c>
      <c r="B73" s="47" t="s">
        <v>61</v>
      </c>
      <c r="C73" s="47" t="s">
        <v>101</v>
      </c>
      <c r="D73" s="47" t="s">
        <v>104</v>
      </c>
      <c r="E73" s="51">
        <v>9000</v>
      </c>
      <c r="F73" s="49" t="s">
        <v>62</v>
      </c>
      <c r="G73" s="48">
        <v>5.1999999999999998E-2</v>
      </c>
      <c r="H73" s="48">
        <f t="shared" si="2"/>
        <v>468</v>
      </c>
      <c r="I73" s="78" t="s">
        <v>65</v>
      </c>
    </row>
    <row r="74" spans="1:9">
      <c r="A74" s="49">
        <v>72</v>
      </c>
      <c r="B74" s="47" t="s">
        <v>61</v>
      </c>
      <c r="C74" s="47" t="s">
        <v>157</v>
      </c>
      <c r="D74" s="47" t="s">
        <v>104</v>
      </c>
      <c r="E74" s="51">
        <v>18000</v>
      </c>
      <c r="F74" s="49" t="s">
        <v>62</v>
      </c>
      <c r="G74" s="48">
        <v>5.1999999999999998E-2</v>
      </c>
      <c r="H74" s="48">
        <f t="shared" si="2"/>
        <v>936</v>
      </c>
      <c r="I74" s="78" t="s">
        <v>65</v>
      </c>
    </row>
    <row r="75" spans="1:9">
      <c r="A75" s="49">
        <v>73</v>
      </c>
      <c r="B75" s="47" t="s">
        <v>61</v>
      </c>
      <c r="C75" s="47" t="s">
        <v>103</v>
      </c>
      <c r="D75" s="47" t="s">
        <v>104</v>
      </c>
      <c r="E75" s="51">
        <v>6000</v>
      </c>
      <c r="F75" s="49" t="s">
        <v>62</v>
      </c>
      <c r="G75" s="48">
        <v>7.0000000000000007E-2</v>
      </c>
      <c r="H75" s="48">
        <f t="shared" si="2"/>
        <v>420.00000000000006</v>
      </c>
      <c r="I75" s="78" t="s">
        <v>65</v>
      </c>
    </row>
    <row r="76" spans="1:9">
      <c r="A76" s="49">
        <v>74</v>
      </c>
      <c r="B76" s="47" t="s">
        <v>61</v>
      </c>
      <c r="C76" s="47" t="s">
        <v>158</v>
      </c>
      <c r="D76" s="47" t="s">
        <v>104</v>
      </c>
      <c r="E76" s="51">
        <v>12000</v>
      </c>
      <c r="F76" s="49" t="s">
        <v>62</v>
      </c>
      <c r="G76" s="48">
        <v>7.0000000000000007E-2</v>
      </c>
      <c r="H76" s="48">
        <f t="shared" si="2"/>
        <v>840.00000000000011</v>
      </c>
      <c r="I76" s="78" t="s">
        <v>65</v>
      </c>
    </row>
    <row r="77" spans="1:9">
      <c r="A77" s="49">
        <v>75</v>
      </c>
      <c r="B77" s="47" t="s">
        <v>61</v>
      </c>
      <c r="C77" s="47" t="s">
        <v>159</v>
      </c>
      <c r="D77" s="47" t="s">
        <v>165</v>
      </c>
      <c r="E77" s="51">
        <v>4000</v>
      </c>
      <c r="F77" s="49" t="s">
        <v>62</v>
      </c>
      <c r="G77" s="48">
        <v>5.0999999999999997E-2</v>
      </c>
      <c r="H77" s="48">
        <f t="shared" si="2"/>
        <v>204</v>
      </c>
      <c r="I77" s="78" t="s">
        <v>65</v>
      </c>
    </row>
    <row r="78" spans="1:9">
      <c r="A78" s="49">
        <v>76</v>
      </c>
      <c r="B78" s="47" t="s">
        <v>61</v>
      </c>
      <c r="C78" s="47" t="s">
        <v>160</v>
      </c>
      <c r="D78" s="47" t="s">
        <v>165</v>
      </c>
      <c r="E78" s="51">
        <v>20000</v>
      </c>
      <c r="F78" s="49" t="s">
        <v>62</v>
      </c>
      <c r="G78" s="48">
        <v>5.0999999999999997E-2</v>
      </c>
      <c r="H78" s="48">
        <f t="shared" si="2"/>
        <v>1019.9999999999999</v>
      </c>
      <c r="I78" s="78" t="s">
        <v>65</v>
      </c>
    </row>
    <row r="79" spans="1:9">
      <c r="A79" s="49">
        <v>77</v>
      </c>
      <c r="B79" s="47" t="s">
        <v>61</v>
      </c>
      <c r="C79" s="47" t="s">
        <v>161</v>
      </c>
      <c r="D79" s="47" t="s">
        <v>165</v>
      </c>
      <c r="E79" s="51">
        <v>6000</v>
      </c>
      <c r="F79" s="49" t="s">
        <v>62</v>
      </c>
      <c r="G79" s="48">
        <v>5.0999999999999997E-2</v>
      </c>
      <c r="H79" s="48">
        <f t="shared" si="2"/>
        <v>306</v>
      </c>
      <c r="I79" s="78" t="s">
        <v>65</v>
      </c>
    </row>
    <row r="80" spans="1:9">
      <c r="A80" s="49">
        <v>78</v>
      </c>
      <c r="B80" s="47" t="s">
        <v>61</v>
      </c>
      <c r="C80" s="47" t="s">
        <v>162</v>
      </c>
      <c r="D80" s="47" t="s">
        <v>165</v>
      </c>
      <c r="E80" s="51">
        <v>14000</v>
      </c>
      <c r="F80" s="49" t="s">
        <v>62</v>
      </c>
      <c r="G80" s="48">
        <v>5.0999999999999997E-2</v>
      </c>
      <c r="H80" s="48">
        <f t="shared" si="2"/>
        <v>714</v>
      </c>
      <c r="I80" s="78" t="s">
        <v>65</v>
      </c>
    </row>
    <row r="81" spans="1:9">
      <c r="A81" s="49">
        <v>79</v>
      </c>
      <c r="B81" s="47" t="s">
        <v>61</v>
      </c>
      <c r="C81" s="47" t="s">
        <v>163</v>
      </c>
      <c r="D81" s="47" t="s">
        <v>165</v>
      </c>
      <c r="E81" s="51">
        <v>2000</v>
      </c>
      <c r="F81" s="49" t="s">
        <v>62</v>
      </c>
      <c r="G81" s="48">
        <v>5.0999999999999997E-2</v>
      </c>
      <c r="H81" s="48">
        <f t="shared" si="2"/>
        <v>102</v>
      </c>
      <c r="I81" s="78" t="s">
        <v>65</v>
      </c>
    </row>
    <row r="82" spans="1:9">
      <c r="A82" s="49">
        <v>80</v>
      </c>
      <c r="B82" s="47" t="s">
        <v>61</v>
      </c>
      <c r="C82" s="47" t="s">
        <v>102</v>
      </c>
      <c r="D82" s="47" t="s">
        <v>119</v>
      </c>
      <c r="E82" s="51">
        <v>9000</v>
      </c>
      <c r="F82" s="49" t="s">
        <v>62</v>
      </c>
      <c r="G82" s="48">
        <v>4.8000000000000001E-2</v>
      </c>
      <c r="H82" s="48">
        <f t="shared" si="2"/>
        <v>432</v>
      </c>
      <c r="I82" s="78" t="s">
        <v>65</v>
      </c>
    </row>
    <row r="83" spans="1:9">
      <c r="A83" s="49">
        <v>81</v>
      </c>
      <c r="B83" s="47" t="s">
        <v>61</v>
      </c>
      <c r="C83" s="47" t="s">
        <v>100</v>
      </c>
      <c r="D83" s="47" t="s">
        <v>119</v>
      </c>
      <c r="E83" s="51">
        <v>9000</v>
      </c>
      <c r="F83" s="49" t="s">
        <v>62</v>
      </c>
      <c r="G83" s="48">
        <v>4.7E-2</v>
      </c>
      <c r="H83" s="48">
        <f t="shared" si="2"/>
        <v>423</v>
      </c>
      <c r="I83" s="78" t="s">
        <v>65</v>
      </c>
    </row>
    <row r="84" spans="1:9">
      <c r="A84" s="49">
        <v>82</v>
      </c>
      <c r="B84" s="47" t="s">
        <v>61</v>
      </c>
      <c r="C84" s="47" t="s">
        <v>164</v>
      </c>
      <c r="D84" s="47" t="s">
        <v>119</v>
      </c>
      <c r="E84" s="51">
        <v>1500</v>
      </c>
      <c r="F84" s="49" t="s">
        <v>62</v>
      </c>
      <c r="G84" s="48">
        <v>4.7E-2</v>
      </c>
      <c r="H84" s="48">
        <f t="shared" si="2"/>
        <v>70.5</v>
      </c>
      <c r="I84" s="78" t="s">
        <v>65</v>
      </c>
    </row>
    <row r="85" spans="1:9">
      <c r="A85" s="113" t="s">
        <v>32</v>
      </c>
      <c r="B85" s="114"/>
      <c r="C85" s="114"/>
      <c r="D85" s="115"/>
      <c r="E85" s="52">
        <f>SUM(E3:E41,E45:E72)</f>
        <v>1568400</v>
      </c>
      <c r="F85" s="50" t="s">
        <v>31</v>
      </c>
      <c r="G85" s="109"/>
      <c r="H85" s="108">
        <f>SUM(H3:H84)</f>
        <v>59923.600000000006</v>
      </c>
      <c r="I85" s="111"/>
    </row>
    <row r="86" spans="1:9">
      <c r="A86" s="116"/>
      <c r="B86" s="117"/>
      <c r="C86" s="117"/>
      <c r="D86" s="118"/>
      <c r="E86" s="76">
        <f>SUM(E42:E44,E73:E84)</f>
        <v>130500</v>
      </c>
      <c r="F86" s="74" t="s">
        <v>63</v>
      </c>
      <c r="G86" s="110"/>
      <c r="H86" s="108"/>
      <c r="I86" s="112"/>
    </row>
  </sheetData>
  <mergeCells count="4">
    <mergeCell ref="H85:H86"/>
    <mergeCell ref="G85:G86"/>
    <mergeCell ref="I85:I86"/>
    <mergeCell ref="A85:D86"/>
  </mergeCells>
  <phoneticPr fontId="1" type="noConversion"/>
  <pageMargins left="0.7" right="0.7" top="0.75" bottom="0.75" header="0.3" footer="0.3"/>
  <pageSetup paperSize="9" scale="90" orientation="portrait" r:id="rId1"/>
  <ignoredErrors>
    <ignoredError sqref="H85:H86 H3:H44 H45:H84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48B2-485B-430C-8EE7-B73375FED4A9}">
  <dimension ref="B1:M61"/>
  <sheetViews>
    <sheetView zoomScale="85" zoomScaleNormal="85" workbookViewId="0">
      <selection activeCell="Q26" sqref="Q26"/>
    </sheetView>
  </sheetViews>
  <sheetFormatPr defaultRowHeight="15"/>
  <cols>
    <col min="1" max="1" width="1.140625" customWidth="1"/>
    <col min="2" max="3" width="10.42578125" customWidth="1"/>
    <col min="4" max="4" width="10.140625" customWidth="1"/>
    <col min="5" max="5" width="13.28515625" customWidth="1"/>
    <col min="6" max="6" width="11.28515625" customWidth="1"/>
    <col min="7" max="7" width="9.85546875" customWidth="1"/>
    <col min="8" max="8" width="11.7109375" customWidth="1"/>
    <col min="9" max="9" width="8" customWidth="1"/>
    <col min="10" max="10" width="15.42578125" customWidth="1"/>
    <col min="11" max="11" width="13.140625" customWidth="1"/>
    <col min="12" max="12" width="6.7109375" customWidth="1"/>
    <col min="13" max="13" width="9.42578125" bestFit="1" customWidth="1"/>
    <col min="14" max="14" width="1.42578125" customWidth="1"/>
  </cols>
  <sheetData>
    <row r="1" spans="2:13">
      <c r="B1" s="83" t="s">
        <v>44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2:13"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2:13"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2:13">
      <c r="B4" s="6" t="s">
        <v>0</v>
      </c>
      <c r="C4" s="7"/>
      <c r="D4" s="7"/>
      <c r="E4" s="7"/>
      <c r="F4" s="7"/>
      <c r="G4" s="7"/>
      <c r="H4" s="6" t="s">
        <v>4</v>
      </c>
      <c r="I4" s="7"/>
      <c r="J4" s="7"/>
      <c r="K4" s="7"/>
      <c r="L4" s="7"/>
      <c r="M4" s="8"/>
    </row>
    <row r="5" spans="2:13">
      <c r="B5" s="85" t="s">
        <v>41</v>
      </c>
      <c r="C5" s="86"/>
      <c r="D5" s="86"/>
      <c r="E5" s="86"/>
      <c r="F5" s="86"/>
      <c r="G5" s="86"/>
      <c r="H5" s="10" t="str">
        <f>'DJC20250829-261'!H5</f>
        <v>DJC20250829-261                 29, Aug, 2025.</v>
      </c>
      <c r="I5" s="11"/>
      <c r="J5" s="11"/>
      <c r="K5" s="11"/>
      <c r="L5" s="11"/>
      <c r="M5" s="12"/>
    </row>
    <row r="6" spans="2:13">
      <c r="B6" s="85" t="s">
        <v>17</v>
      </c>
      <c r="C6" s="86"/>
      <c r="D6" s="86"/>
      <c r="E6" s="86"/>
      <c r="F6" s="86"/>
      <c r="G6" s="86"/>
      <c r="H6" s="9" t="s">
        <v>5</v>
      </c>
      <c r="I6" s="7"/>
      <c r="J6" s="7"/>
      <c r="K6" s="7"/>
      <c r="L6" s="7"/>
      <c r="M6" s="8"/>
    </row>
    <row r="7" spans="2:13">
      <c r="B7" s="85" t="s">
        <v>16</v>
      </c>
      <c r="C7" s="86"/>
      <c r="D7" s="86"/>
      <c r="E7" s="86"/>
      <c r="F7" s="86"/>
      <c r="G7" s="86"/>
      <c r="H7" s="93"/>
      <c r="I7" s="94"/>
      <c r="J7" s="94"/>
      <c r="K7" s="94"/>
      <c r="L7" s="94"/>
      <c r="M7" s="95"/>
    </row>
    <row r="8" spans="2:13">
      <c r="B8" s="85">
        <v>47029</v>
      </c>
      <c r="C8" s="86"/>
      <c r="D8" s="86"/>
      <c r="E8" s="86"/>
      <c r="F8" s="86"/>
      <c r="G8" s="86"/>
      <c r="H8" s="96" t="s">
        <v>6</v>
      </c>
      <c r="I8" s="97"/>
      <c r="J8" s="97"/>
      <c r="K8" s="97"/>
      <c r="L8" s="97"/>
      <c r="M8" s="98"/>
    </row>
    <row r="9" spans="2:13">
      <c r="B9" s="85" t="s">
        <v>18</v>
      </c>
      <c r="C9" s="86"/>
      <c r="D9" s="86"/>
      <c r="E9" s="86"/>
      <c r="F9" s="86"/>
      <c r="G9" s="86"/>
      <c r="H9" s="90" t="s">
        <v>28</v>
      </c>
      <c r="I9" s="91"/>
      <c r="J9" s="91"/>
      <c r="K9" s="91"/>
      <c r="L9" s="91"/>
      <c r="M9" s="92"/>
    </row>
    <row r="10" spans="2:13">
      <c r="B10" s="85" t="s">
        <v>19</v>
      </c>
      <c r="C10" s="86"/>
      <c r="D10" s="86"/>
      <c r="E10" s="86"/>
      <c r="F10" s="86"/>
      <c r="G10" s="86"/>
      <c r="H10" s="87"/>
      <c r="I10" s="88"/>
      <c r="J10" s="88"/>
      <c r="K10" s="88"/>
      <c r="L10" s="88"/>
      <c r="M10" s="89"/>
    </row>
    <row r="11" spans="2:13">
      <c r="B11" s="6" t="s">
        <v>3</v>
      </c>
      <c r="C11" s="7"/>
      <c r="D11" s="7"/>
      <c r="E11" s="7"/>
      <c r="F11" s="7"/>
      <c r="G11" s="7"/>
      <c r="H11" s="15" t="s">
        <v>7</v>
      </c>
      <c r="I11" s="13"/>
      <c r="J11" s="13"/>
      <c r="K11" s="13"/>
      <c r="L11" s="13"/>
      <c r="M11" s="14"/>
    </row>
    <row r="12" spans="2:13">
      <c r="B12" s="85" t="s">
        <v>20</v>
      </c>
      <c r="C12" s="86"/>
      <c r="D12" s="86"/>
      <c r="E12" s="86"/>
      <c r="F12" s="86"/>
      <c r="G12" s="86"/>
      <c r="H12" s="87" t="s">
        <v>13</v>
      </c>
      <c r="I12" s="88"/>
      <c r="J12" s="88"/>
      <c r="K12" s="88"/>
      <c r="L12" s="88"/>
      <c r="M12" s="89"/>
    </row>
    <row r="13" spans="2:13">
      <c r="B13" s="85" t="s">
        <v>72</v>
      </c>
      <c r="C13" s="86"/>
      <c r="D13" s="86"/>
      <c r="E13" s="86"/>
      <c r="F13" s="86"/>
      <c r="G13" s="86"/>
      <c r="H13" s="16" t="s">
        <v>8</v>
      </c>
      <c r="I13" s="17"/>
      <c r="J13" s="17"/>
      <c r="K13" s="17"/>
      <c r="L13" s="17"/>
      <c r="M13" s="18"/>
    </row>
    <row r="14" spans="2:13">
      <c r="B14" s="85" t="s">
        <v>73</v>
      </c>
      <c r="C14" s="86"/>
      <c r="D14" s="86"/>
      <c r="E14" s="86"/>
      <c r="F14" s="86"/>
      <c r="G14" s="86"/>
      <c r="H14" s="85"/>
      <c r="I14" s="86"/>
      <c r="J14" s="86"/>
      <c r="K14" s="86"/>
      <c r="L14" s="86"/>
      <c r="M14" s="99"/>
    </row>
    <row r="15" spans="2:13">
      <c r="B15" s="85" t="s">
        <v>21</v>
      </c>
      <c r="C15" s="86"/>
      <c r="D15" s="86"/>
      <c r="E15" s="86"/>
      <c r="F15" s="86"/>
      <c r="G15" s="86"/>
      <c r="H15" s="85"/>
      <c r="I15" s="86"/>
      <c r="J15" s="86"/>
      <c r="K15" s="86"/>
      <c r="L15" s="86"/>
      <c r="M15" s="99"/>
    </row>
    <row r="16" spans="2:13">
      <c r="B16" s="85" t="s">
        <v>22</v>
      </c>
      <c r="C16" s="86"/>
      <c r="D16" s="86"/>
      <c r="E16" s="86"/>
      <c r="F16" s="86"/>
      <c r="G16" s="86"/>
      <c r="H16" s="85"/>
      <c r="I16" s="86"/>
      <c r="J16" s="86"/>
      <c r="K16" s="86"/>
      <c r="L16" s="86"/>
      <c r="M16" s="99"/>
    </row>
    <row r="17" spans="2:13">
      <c r="B17" s="15"/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4"/>
    </row>
    <row r="18" spans="2:13">
      <c r="B18" s="15"/>
      <c r="C18" s="13"/>
      <c r="D18" s="13"/>
      <c r="E18" s="13"/>
      <c r="F18" s="13"/>
      <c r="G18" s="13"/>
      <c r="H18" s="93"/>
      <c r="I18" s="94"/>
      <c r="J18" s="94"/>
      <c r="K18" s="94"/>
      <c r="L18" s="94"/>
      <c r="M18" s="95"/>
    </row>
    <row r="19" spans="2:13">
      <c r="B19" s="6" t="s">
        <v>1</v>
      </c>
      <c r="C19" s="7"/>
      <c r="D19" s="7"/>
      <c r="E19" s="7"/>
      <c r="F19" s="7"/>
      <c r="G19" s="7"/>
      <c r="H19" s="85" t="s">
        <v>9</v>
      </c>
      <c r="I19" s="86"/>
      <c r="J19" s="86"/>
      <c r="K19" s="86"/>
      <c r="L19" s="86"/>
      <c r="M19" s="99"/>
    </row>
    <row r="20" spans="2:13">
      <c r="B20" s="85"/>
      <c r="C20" s="86"/>
      <c r="D20" s="86"/>
      <c r="E20" s="86"/>
      <c r="F20" s="86"/>
      <c r="G20" s="86"/>
      <c r="H20" s="85"/>
      <c r="I20" s="86"/>
      <c r="J20" s="86"/>
      <c r="K20" s="86"/>
      <c r="L20" s="86"/>
      <c r="M20" s="99"/>
    </row>
    <row r="21" spans="2:13">
      <c r="B21" s="85"/>
      <c r="C21" s="86"/>
      <c r="D21" s="86"/>
      <c r="E21" s="86"/>
      <c r="F21" s="86"/>
      <c r="G21" s="86"/>
      <c r="H21" s="85"/>
      <c r="I21" s="86"/>
      <c r="J21" s="86"/>
      <c r="K21" s="86"/>
      <c r="L21" s="86"/>
      <c r="M21" s="99"/>
    </row>
    <row r="22" spans="2:13">
      <c r="B22" s="85"/>
      <c r="C22" s="86"/>
      <c r="D22" s="86"/>
      <c r="E22" s="86"/>
      <c r="F22" s="86"/>
      <c r="G22" s="86"/>
      <c r="H22" s="85"/>
      <c r="I22" s="86"/>
      <c r="J22" s="86"/>
      <c r="K22" s="86"/>
      <c r="L22" s="86"/>
      <c r="M22" s="99"/>
    </row>
    <row r="23" spans="2:13">
      <c r="B23" s="6" t="s">
        <v>2</v>
      </c>
      <c r="C23" s="7"/>
      <c r="D23" s="7"/>
      <c r="E23" s="6" t="s">
        <v>26</v>
      </c>
      <c r="F23" s="7"/>
      <c r="G23" s="7"/>
      <c r="H23" s="85"/>
      <c r="I23" s="86"/>
      <c r="J23" s="86"/>
      <c r="K23" s="86"/>
      <c r="L23" s="86"/>
      <c r="M23" s="99"/>
    </row>
    <row r="24" spans="2:13">
      <c r="B24" s="85" t="s">
        <v>59</v>
      </c>
      <c r="C24" s="86"/>
      <c r="D24" s="86"/>
      <c r="E24" s="85" t="s">
        <v>58</v>
      </c>
      <c r="F24" s="86"/>
      <c r="G24" s="86"/>
      <c r="H24" s="90"/>
      <c r="I24" s="86"/>
      <c r="J24" s="86"/>
      <c r="K24" s="86"/>
      <c r="L24" s="86"/>
      <c r="M24" s="99"/>
    </row>
    <row r="25" spans="2:13">
      <c r="B25" s="93"/>
      <c r="C25" s="94"/>
      <c r="D25" s="94"/>
      <c r="E25" s="93"/>
      <c r="F25" s="94"/>
      <c r="G25" s="94"/>
      <c r="H25" s="85"/>
      <c r="I25" s="86"/>
      <c r="J25" s="86"/>
      <c r="K25" s="86"/>
      <c r="L25" s="86"/>
      <c r="M25" s="99"/>
    </row>
    <row r="26" spans="2:13">
      <c r="B26" s="9" t="s">
        <v>23</v>
      </c>
      <c r="C26" s="7"/>
      <c r="D26" s="7"/>
      <c r="E26" s="7"/>
      <c r="F26" s="7" t="s">
        <v>45</v>
      </c>
      <c r="G26" s="7" t="s">
        <v>46</v>
      </c>
      <c r="H26" s="7" t="s">
        <v>10</v>
      </c>
      <c r="I26" s="7"/>
      <c r="J26" s="53" t="s">
        <v>47</v>
      </c>
      <c r="K26" s="119" t="s">
        <v>48</v>
      </c>
      <c r="L26" s="119"/>
      <c r="M26" s="8" t="s">
        <v>49</v>
      </c>
    </row>
    <row r="27" spans="2:13"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2"/>
    </row>
    <row r="28" spans="2:13">
      <c r="B28" s="10" t="s">
        <v>42</v>
      </c>
      <c r="C28" s="11"/>
      <c r="D28" s="11"/>
      <c r="E28" s="11"/>
      <c r="F28" s="11"/>
      <c r="G28" s="11"/>
      <c r="H28" s="26"/>
      <c r="I28" s="54"/>
      <c r="J28" s="55"/>
      <c r="K28" s="55"/>
      <c r="L28" s="56"/>
      <c r="M28" s="57"/>
    </row>
    <row r="29" spans="2:13">
      <c r="B29" s="10" t="s">
        <v>33</v>
      </c>
      <c r="C29" s="11"/>
      <c r="D29" s="11"/>
      <c r="E29" s="11"/>
      <c r="F29" s="11"/>
      <c r="G29" s="11"/>
      <c r="H29" s="26"/>
      <c r="I29" s="58"/>
      <c r="J29" s="59"/>
      <c r="K29" s="55"/>
      <c r="L29" s="20"/>
      <c r="M29" s="57"/>
    </row>
    <row r="30" spans="2:13">
      <c r="B30" s="10"/>
      <c r="C30" s="11"/>
      <c r="D30" s="11"/>
      <c r="E30" s="11"/>
      <c r="F30" s="11"/>
      <c r="G30" s="11"/>
      <c r="H30" s="26"/>
      <c r="I30" s="54"/>
      <c r="J30" s="55"/>
      <c r="K30" s="55"/>
      <c r="L30" s="20"/>
      <c r="M30" s="57"/>
    </row>
    <row r="31" spans="2:13">
      <c r="B31" s="10"/>
      <c r="C31" s="11"/>
      <c r="D31" s="11"/>
      <c r="E31" s="11"/>
      <c r="F31" s="11"/>
      <c r="G31" s="11"/>
      <c r="H31" s="26"/>
      <c r="I31" s="54"/>
      <c r="J31" s="55"/>
      <c r="K31" s="55"/>
      <c r="L31" s="20"/>
      <c r="M31" s="57"/>
    </row>
    <row r="32" spans="2:13" ht="15.75" thickBot="1">
      <c r="B32" s="10"/>
      <c r="C32" s="11"/>
      <c r="D32" s="11"/>
      <c r="E32" s="11"/>
      <c r="F32" s="11"/>
      <c r="G32" s="11"/>
      <c r="H32" s="11"/>
      <c r="I32" s="11"/>
      <c r="J32" s="20"/>
      <c r="K32" s="20"/>
      <c r="L32" s="20"/>
      <c r="M32" s="23"/>
    </row>
    <row r="33" spans="2:13" ht="15.75" thickTop="1">
      <c r="B33" s="10"/>
      <c r="C33" s="11"/>
      <c r="D33" s="11"/>
      <c r="E33" s="11"/>
      <c r="F33" s="32" t="s">
        <v>32</v>
      </c>
      <c r="G33" s="32"/>
      <c r="H33" s="31">
        <f>'PACKING DETAIL'!D82</f>
        <v>1568400</v>
      </c>
      <c r="I33" s="70" t="s">
        <v>31</v>
      </c>
      <c r="J33" s="60">
        <v>2149.31</v>
      </c>
      <c r="K33" s="60">
        <v>2364.241</v>
      </c>
      <c r="L33" s="33"/>
      <c r="M33" s="61">
        <v>35.4</v>
      </c>
    </row>
    <row r="34" spans="2:13">
      <c r="B34" s="10"/>
      <c r="C34" s="11"/>
      <c r="D34" s="11"/>
      <c r="E34" s="11"/>
      <c r="F34" s="34"/>
      <c r="G34" s="34"/>
      <c r="H34" s="72">
        <f>'PACKING DETAIL'!D83+'PACKING DETAIL'!D87</f>
        <v>130500</v>
      </c>
      <c r="I34" s="73" t="s">
        <v>63</v>
      </c>
      <c r="J34" s="36"/>
      <c r="K34" s="36"/>
      <c r="L34" s="36"/>
      <c r="M34" s="71"/>
    </row>
    <row r="35" spans="2:13">
      <c r="B35" s="10"/>
      <c r="F35" s="11"/>
      <c r="H35" s="11"/>
      <c r="I35" s="11"/>
      <c r="J35" s="21"/>
      <c r="K35" s="21"/>
      <c r="L35" s="20"/>
      <c r="M35" s="23"/>
    </row>
    <row r="36" spans="2:13">
      <c r="B36" s="10"/>
      <c r="I36" s="11"/>
      <c r="J36" s="21"/>
      <c r="K36" s="21"/>
      <c r="L36" s="20"/>
      <c r="M36" s="23"/>
    </row>
    <row r="37" spans="2:13">
      <c r="B37" s="10"/>
      <c r="I37" s="11"/>
      <c r="J37" s="21"/>
      <c r="K37" s="21"/>
      <c r="L37" s="20"/>
      <c r="M37" s="23"/>
    </row>
    <row r="38" spans="2:13">
      <c r="B38" s="10"/>
      <c r="I38" s="11"/>
      <c r="J38" s="21"/>
      <c r="K38" s="21"/>
      <c r="L38" s="20"/>
      <c r="M38" s="23"/>
    </row>
    <row r="39" spans="2:13">
      <c r="B39" s="10"/>
      <c r="I39" s="11"/>
      <c r="J39" s="21"/>
      <c r="K39" s="21"/>
      <c r="L39" s="20"/>
      <c r="M39" s="23"/>
    </row>
    <row r="40" spans="2:13">
      <c r="B40" s="10"/>
      <c r="I40" s="11"/>
      <c r="J40" s="21"/>
      <c r="K40" s="21"/>
      <c r="L40" s="20"/>
      <c r="M40" s="23"/>
    </row>
    <row r="41" spans="2:13">
      <c r="B41" s="10"/>
      <c r="I41" s="11"/>
      <c r="J41" s="21"/>
      <c r="K41" s="21"/>
      <c r="L41" s="20"/>
      <c r="M41" s="23"/>
    </row>
    <row r="42" spans="2:13">
      <c r="B42" s="10"/>
      <c r="I42" s="11"/>
      <c r="J42" s="21"/>
      <c r="K42" s="21"/>
      <c r="L42" s="20"/>
      <c r="M42" s="23"/>
    </row>
    <row r="43" spans="2:13">
      <c r="B43" s="10"/>
      <c r="C43" t="s">
        <v>171</v>
      </c>
      <c r="I43" s="11"/>
      <c r="J43" s="21"/>
      <c r="K43" s="21"/>
      <c r="L43" s="20"/>
      <c r="M43" s="23"/>
    </row>
    <row r="44" spans="2:13">
      <c r="B44" s="10"/>
      <c r="I44" s="11"/>
      <c r="J44" s="21"/>
      <c r="K44" s="21"/>
      <c r="L44" s="20"/>
      <c r="M44" s="23"/>
    </row>
    <row r="45" spans="2:13">
      <c r="B45" s="10"/>
      <c r="I45" s="11"/>
      <c r="J45" s="21"/>
      <c r="K45" s="21"/>
      <c r="L45" s="20"/>
      <c r="M45" s="23"/>
    </row>
    <row r="46" spans="2:13">
      <c r="B46" s="10"/>
      <c r="I46" s="11"/>
      <c r="J46" s="21"/>
      <c r="K46" s="21"/>
      <c r="L46" s="20"/>
      <c r="M46" s="23"/>
    </row>
    <row r="47" spans="2:13">
      <c r="B47" s="10"/>
      <c r="I47" s="11"/>
      <c r="J47" s="21"/>
      <c r="K47" s="21"/>
      <c r="L47" s="20"/>
      <c r="M47" s="23"/>
    </row>
    <row r="48" spans="2:13">
      <c r="B48" s="4"/>
      <c r="M48" s="5"/>
    </row>
    <row r="49" spans="2:13" ht="16.5" customHeight="1">
      <c r="B49" s="4"/>
      <c r="F49" s="24"/>
      <c r="G49" s="24"/>
      <c r="L49" s="36"/>
      <c r="M49" s="37"/>
    </row>
    <row r="50" spans="2:13" ht="16.5" customHeight="1">
      <c r="B50" s="4"/>
      <c r="F50" s="19"/>
      <c r="G50" s="19"/>
      <c r="L50" s="22"/>
      <c r="M50" s="62"/>
    </row>
    <row r="51" spans="2:13" ht="16.5" customHeight="1">
      <c r="B51" s="4"/>
      <c r="F51" s="19"/>
      <c r="G51" s="19"/>
      <c r="L51" s="22"/>
      <c r="M51" s="62"/>
    </row>
    <row r="52" spans="2:13" ht="16.5" customHeight="1">
      <c r="B52" s="4"/>
      <c r="F52" s="19"/>
      <c r="G52" s="19"/>
      <c r="L52" s="22"/>
      <c r="M52" s="62"/>
    </row>
    <row r="53" spans="2:13" ht="16.5" customHeight="1">
      <c r="B53" s="4"/>
      <c r="F53" s="19"/>
      <c r="G53" s="19"/>
      <c r="L53" s="22"/>
      <c r="M53" s="62"/>
    </row>
    <row r="54" spans="2:13">
      <c r="B54" s="4"/>
      <c r="M54" s="5"/>
    </row>
    <row r="55" spans="2:13">
      <c r="B55" s="4"/>
      <c r="D55" s="104"/>
      <c r="E55" s="104"/>
      <c r="F55" s="104"/>
      <c r="J55" s="104"/>
      <c r="K55" s="104"/>
      <c r="L55" s="104"/>
      <c r="M55" s="106"/>
    </row>
    <row r="56" spans="2:13">
      <c r="B56" s="4"/>
      <c r="D56" s="104"/>
      <c r="E56" s="104"/>
      <c r="F56" s="104"/>
      <c r="J56" s="104"/>
      <c r="K56" s="104"/>
      <c r="L56" s="104"/>
      <c r="M56" s="106"/>
    </row>
    <row r="57" spans="2:13">
      <c r="B57" s="4"/>
      <c r="D57" s="104"/>
      <c r="E57" s="104"/>
      <c r="F57" s="104"/>
      <c r="J57" s="104"/>
      <c r="K57" s="104"/>
      <c r="L57" s="104"/>
      <c r="M57" s="106"/>
    </row>
    <row r="58" spans="2:13" ht="15.75" thickBot="1">
      <c r="B58" s="100" t="s">
        <v>50</v>
      </c>
      <c r="C58" s="101"/>
      <c r="D58" s="105"/>
      <c r="E58" s="105"/>
      <c r="F58" s="105"/>
      <c r="H58" s="101" t="s">
        <v>51</v>
      </c>
      <c r="I58" s="101"/>
      <c r="J58" s="105"/>
      <c r="K58" s="105"/>
      <c r="L58" s="105"/>
      <c r="M58" s="107"/>
    </row>
    <row r="59" spans="2:13">
      <c r="B59" s="100"/>
      <c r="C59" s="101"/>
      <c r="D59" s="102" t="s">
        <v>27</v>
      </c>
      <c r="E59" s="102"/>
      <c r="F59" s="102"/>
      <c r="H59" s="101"/>
      <c r="I59" s="101"/>
      <c r="J59" s="102" t="str">
        <f>'[1]JBS20211018-001 INVOICE'!J57:M57</f>
        <v>DIRECTOR (KIM YOUNG GON)</v>
      </c>
      <c r="K59" s="102"/>
      <c r="L59" s="102"/>
      <c r="M59" s="103"/>
    </row>
    <row r="60" spans="2:13">
      <c r="B60" s="4"/>
      <c r="D60" t="s">
        <v>56</v>
      </c>
      <c r="J60" t="s">
        <v>25</v>
      </c>
      <c r="M60" s="5"/>
    </row>
    <row r="61" spans="2:13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3"/>
    </row>
  </sheetData>
  <mergeCells count="40">
    <mergeCell ref="K26:L26"/>
    <mergeCell ref="D55:F58"/>
    <mergeCell ref="J55:M58"/>
    <mergeCell ref="B58:C59"/>
    <mergeCell ref="H58:I59"/>
    <mergeCell ref="D59:F59"/>
    <mergeCell ref="J59:M59"/>
    <mergeCell ref="B24:D25"/>
    <mergeCell ref="E24:G25"/>
    <mergeCell ref="H24:M24"/>
    <mergeCell ref="H25:M25"/>
    <mergeCell ref="B16:G16"/>
    <mergeCell ref="H16:M16"/>
    <mergeCell ref="H18:M18"/>
    <mergeCell ref="H19:M19"/>
    <mergeCell ref="B20:G20"/>
    <mergeCell ref="H20:M20"/>
    <mergeCell ref="B21:G21"/>
    <mergeCell ref="H21:M21"/>
    <mergeCell ref="B22:G22"/>
    <mergeCell ref="H22:M22"/>
    <mergeCell ref="H23:M23"/>
    <mergeCell ref="B15:G15"/>
    <mergeCell ref="H15:M15"/>
    <mergeCell ref="B8:G8"/>
    <mergeCell ref="H8:M8"/>
    <mergeCell ref="B9:G9"/>
    <mergeCell ref="H9:M9"/>
    <mergeCell ref="B10:G10"/>
    <mergeCell ref="H10:M10"/>
    <mergeCell ref="B12:G12"/>
    <mergeCell ref="H12:M12"/>
    <mergeCell ref="B13:G13"/>
    <mergeCell ref="B14:G14"/>
    <mergeCell ref="H14:M14"/>
    <mergeCell ref="B1:M3"/>
    <mergeCell ref="B5:G5"/>
    <mergeCell ref="B6:G6"/>
    <mergeCell ref="B7:G7"/>
    <mergeCell ref="H7:M7"/>
  </mergeCells>
  <phoneticPr fontId="1" type="noConversion"/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D389-94C8-4FB8-A9E9-394BAB819836}">
  <dimension ref="A1:J87"/>
  <sheetViews>
    <sheetView tabSelected="1" zoomScaleNormal="100" workbookViewId="0">
      <selection activeCell="C3" sqref="C3"/>
    </sheetView>
  </sheetViews>
  <sheetFormatPr defaultColWidth="8.85546875" defaultRowHeight="12.75"/>
  <cols>
    <col min="1" max="1" width="4.85546875" style="42" customWidth="1"/>
    <col min="2" max="2" width="25.28515625" style="42" customWidth="1"/>
    <col min="3" max="3" width="21" style="42" bestFit="1" customWidth="1"/>
    <col min="4" max="4" width="10.7109375" style="42" bestFit="1" customWidth="1"/>
    <col min="5" max="5" width="7.7109375" style="42" bestFit="1" customWidth="1"/>
    <col min="6" max="6" width="12.28515625" style="42" bestFit="1" customWidth="1"/>
    <col min="7" max="7" width="13.28515625" style="42" bestFit="1" customWidth="1"/>
    <col min="8" max="8" width="12.5703125" style="42" bestFit="1" customWidth="1"/>
    <col min="9" max="9" width="12.5703125" style="42" customWidth="1"/>
    <col min="10" max="12" width="8.85546875" style="42" customWidth="1"/>
    <col min="13" max="16384" width="8.85546875" style="42"/>
  </cols>
  <sheetData>
    <row r="1" spans="1:10">
      <c r="A1" s="63" t="s">
        <v>109</v>
      </c>
    </row>
    <row r="2" spans="1:10" ht="25.5">
      <c r="A2" s="64" t="s">
        <v>40</v>
      </c>
      <c r="B2" s="64" t="s">
        <v>34</v>
      </c>
      <c r="C2" s="64" t="s">
        <v>35</v>
      </c>
      <c r="D2" s="66" t="s">
        <v>36</v>
      </c>
      <c r="E2" s="66" t="s">
        <v>37</v>
      </c>
      <c r="F2" s="65" t="s">
        <v>52</v>
      </c>
      <c r="G2" s="65" t="s">
        <v>53</v>
      </c>
      <c r="H2" s="66" t="s">
        <v>55</v>
      </c>
      <c r="I2" s="66" t="s">
        <v>107</v>
      </c>
      <c r="J2" s="66" t="s">
        <v>54</v>
      </c>
    </row>
    <row r="3" spans="1:10" ht="16.899999999999999" customHeight="1">
      <c r="A3" s="49">
        <v>1</v>
      </c>
      <c r="B3" s="75" t="s">
        <v>67</v>
      </c>
      <c r="C3" s="75" t="s">
        <v>110</v>
      </c>
      <c r="D3" s="51">
        <v>3500</v>
      </c>
      <c r="E3" s="79" t="s">
        <v>30</v>
      </c>
      <c r="F3" s="68">
        <v>17.5</v>
      </c>
      <c r="G3" s="69">
        <f>F3*1.1</f>
        <v>19.25</v>
      </c>
      <c r="H3" s="67">
        <v>2</v>
      </c>
      <c r="I3" s="131" t="s">
        <v>172</v>
      </c>
      <c r="J3" s="123">
        <v>20.2</v>
      </c>
    </row>
    <row r="4" spans="1:10" ht="16.899999999999999" customHeight="1">
      <c r="A4" s="49">
        <v>2</v>
      </c>
      <c r="B4" s="75" t="s">
        <v>67</v>
      </c>
      <c r="C4" s="75" t="s">
        <v>111</v>
      </c>
      <c r="D4" s="51">
        <v>15000</v>
      </c>
      <c r="E4" s="79" t="s">
        <v>30</v>
      </c>
      <c r="F4" s="68">
        <v>15</v>
      </c>
      <c r="G4" s="69">
        <f t="shared" ref="G4:G86" si="0">F4*1.1</f>
        <v>16.5</v>
      </c>
      <c r="H4" s="67">
        <v>2</v>
      </c>
      <c r="I4" s="132"/>
      <c r="J4" s="124"/>
    </row>
    <row r="5" spans="1:10" ht="16.899999999999999" customHeight="1">
      <c r="A5" s="49">
        <v>3</v>
      </c>
      <c r="B5" s="75" t="s">
        <v>67</v>
      </c>
      <c r="C5" s="75" t="s">
        <v>112</v>
      </c>
      <c r="D5" s="51">
        <v>6000</v>
      </c>
      <c r="E5" s="79" t="s">
        <v>30</v>
      </c>
      <c r="F5" s="68">
        <v>6</v>
      </c>
      <c r="G5" s="69">
        <f t="shared" si="0"/>
        <v>6.6000000000000005</v>
      </c>
      <c r="H5" s="67">
        <v>2</v>
      </c>
      <c r="I5" s="132"/>
      <c r="J5" s="124"/>
    </row>
    <row r="6" spans="1:10" ht="16.899999999999999" customHeight="1">
      <c r="A6" s="49">
        <v>4</v>
      </c>
      <c r="B6" s="75" t="s">
        <v>67</v>
      </c>
      <c r="C6" s="75" t="s">
        <v>74</v>
      </c>
      <c r="D6" s="51">
        <v>45000</v>
      </c>
      <c r="E6" s="79" t="s">
        <v>30</v>
      </c>
      <c r="F6" s="68">
        <v>45</v>
      </c>
      <c r="G6" s="69">
        <f t="shared" si="0"/>
        <v>49.500000000000007</v>
      </c>
      <c r="H6" s="67" t="s">
        <v>105</v>
      </c>
      <c r="I6" s="132"/>
      <c r="J6" s="124"/>
    </row>
    <row r="7" spans="1:10" ht="16.899999999999999" customHeight="1">
      <c r="A7" s="49">
        <v>5</v>
      </c>
      <c r="B7" s="75" t="s">
        <v>67</v>
      </c>
      <c r="C7" s="75" t="s">
        <v>113</v>
      </c>
      <c r="D7" s="51">
        <v>8000</v>
      </c>
      <c r="E7" s="79" t="s">
        <v>30</v>
      </c>
      <c r="F7" s="68">
        <v>12</v>
      </c>
      <c r="G7" s="69">
        <f t="shared" si="0"/>
        <v>13.200000000000001</v>
      </c>
      <c r="H7" s="67" t="s">
        <v>105</v>
      </c>
      <c r="I7" s="132"/>
      <c r="J7" s="124"/>
    </row>
    <row r="8" spans="1:10" ht="16.899999999999999" customHeight="1">
      <c r="A8" s="49">
        <v>6</v>
      </c>
      <c r="B8" s="75" t="s">
        <v>67</v>
      </c>
      <c r="C8" s="75" t="s">
        <v>79</v>
      </c>
      <c r="D8" s="51">
        <v>27000</v>
      </c>
      <c r="E8" s="79" t="s">
        <v>30</v>
      </c>
      <c r="F8" s="68">
        <v>291.60000000000002</v>
      </c>
      <c r="G8" s="69">
        <f t="shared" si="0"/>
        <v>320.76000000000005</v>
      </c>
      <c r="H8" s="67">
        <v>5</v>
      </c>
      <c r="I8" s="132"/>
      <c r="J8" s="124"/>
    </row>
    <row r="9" spans="1:10" ht="16.899999999999999" customHeight="1">
      <c r="A9" s="49">
        <v>7</v>
      </c>
      <c r="B9" s="75" t="s">
        <v>67</v>
      </c>
      <c r="C9" s="75" t="s">
        <v>114</v>
      </c>
      <c r="D9" s="51">
        <v>9000</v>
      </c>
      <c r="E9" s="79" t="s">
        <v>30</v>
      </c>
      <c r="F9" s="68">
        <v>13.5</v>
      </c>
      <c r="G9" s="69">
        <f t="shared" si="0"/>
        <v>14.850000000000001</v>
      </c>
      <c r="H9" s="67">
        <v>2</v>
      </c>
      <c r="I9" s="132"/>
      <c r="J9" s="124"/>
    </row>
    <row r="10" spans="1:10" ht="16.899999999999999" customHeight="1">
      <c r="A10" s="49">
        <v>8</v>
      </c>
      <c r="B10" s="75" t="s">
        <v>67</v>
      </c>
      <c r="C10" s="75" t="s">
        <v>115</v>
      </c>
      <c r="D10" s="51">
        <v>1500</v>
      </c>
      <c r="E10" s="79" t="s">
        <v>30</v>
      </c>
      <c r="F10" s="68">
        <v>2.25</v>
      </c>
      <c r="G10" s="69">
        <f t="shared" si="0"/>
        <v>2.4750000000000001</v>
      </c>
      <c r="H10" s="67">
        <v>10</v>
      </c>
      <c r="I10" s="132"/>
      <c r="J10" s="124"/>
    </row>
    <row r="11" spans="1:10" ht="16.899999999999999" customHeight="1">
      <c r="A11" s="49">
        <v>9</v>
      </c>
      <c r="B11" s="75" t="s">
        <v>67</v>
      </c>
      <c r="C11" s="75" t="s">
        <v>116</v>
      </c>
      <c r="D11" s="51">
        <v>3000</v>
      </c>
      <c r="E11" s="79" t="s">
        <v>30</v>
      </c>
      <c r="F11" s="68">
        <v>4.5</v>
      </c>
      <c r="G11" s="69">
        <f t="shared" si="0"/>
        <v>4.95</v>
      </c>
      <c r="H11" s="67">
        <v>10</v>
      </c>
      <c r="I11" s="132"/>
      <c r="J11" s="124"/>
    </row>
    <row r="12" spans="1:10" ht="16.899999999999999" customHeight="1">
      <c r="A12" s="49">
        <v>10</v>
      </c>
      <c r="B12" s="75" t="s">
        <v>67</v>
      </c>
      <c r="C12" s="75" t="s">
        <v>118</v>
      </c>
      <c r="D12" s="51">
        <v>14000</v>
      </c>
      <c r="E12" s="79" t="s">
        <v>30</v>
      </c>
      <c r="F12" s="68">
        <v>21</v>
      </c>
      <c r="G12" s="69">
        <f t="shared" si="0"/>
        <v>23.1</v>
      </c>
      <c r="H12" s="67">
        <v>10</v>
      </c>
      <c r="I12" s="132"/>
      <c r="J12" s="124"/>
    </row>
    <row r="13" spans="1:10" ht="16.899999999999999" customHeight="1">
      <c r="A13" s="49">
        <v>11</v>
      </c>
      <c r="B13" s="75" t="s">
        <v>67</v>
      </c>
      <c r="C13" s="75" t="s">
        <v>80</v>
      </c>
      <c r="D13" s="51">
        <v>12000</v>
      </c>
      <c r="E13" s="79" t="s">
        <v>30</v>
      </c>
      <c r="F13" s="68">
        <v>32</v>
      </c>
      <c r="G13" s="69">
        <f t="shared" si="0"/>
        <v>35.200000000000003</v>
      </c>
      <c r="H13" s="67">
        <v>3</v>
      </c>
      <c r="I13" s="132"/>
      <c r="J13" s="124"/>
    </row>
    <row r="14" spans="1:10" ht="16.899999999999999" customHeight="1">
      <c r="A14" s="49">
        <v>12</v>
      </c>
      <c r="B14" s="75" t="s">
        <v>67</v>
      </c>
      <c r="C14" s="75" t="s">
        <v>120</v>
      </c>
      <c r="D14" s="51">
        <v>9000</v>
      </c>
      <c r="E14" s="79" t="s">
        <v>30</v>
      </c>
      <c r="F14" s="68">
        <v>72</v>
      </c>
      <c r="G14" s="69">
        <f t="shared" si="0"/>
        <v>79.2</v>
      </c>
      <c r="H14" s="67">
        <v>2</v>
      </c>
      <c r="I14" s="132"/>
      <c r="J14" s="124"/>
    </row>
    <row r="15" spans="1:10" ht="16.899999999999999" customHeight="1">
      <c r="A15" s="49">
        <v>13</v>
      </c>
      <c r="B15" s="75" t="s">
        <v>67</v>
      </c>
      <c r="C15" s="75" t="s">
        <v>121</v>
      </c>
      <c r="D15" s="51">
        <v>2500</v>
      </c>
      <c r="E15" s="79" t="s">
        <v>30</v>
      </c>
      <c r="F15" s="68">
        <v>12.5</v>
      </c>
      <c r="G15" s="69">
        <f t="shared" si="0"/>
        <v>13.750000000000002</v>
      </c>
      <c r="H15" s="67">
        <v>2</v>
      </c>
      <c r="I15" s="132"/>
      <c r="J15" s="124"/>
    </row>
    <row r="16" spans="1:10" ht="16.899999999999999" customHeight="1">
      <c r="A16" s="49">
        <v>14</v>
      </c>
      <c r="B16" s="75" t="s">
        <v>67</v>
      </c>
      <c r="C16" s="75" t="s">
        <v>122</v>
      </c>
      <c r="D16" s="51">
        <v>20000</v>
      </c>
      <c r="E16" s="79" t="s">
        <v>30</v>
      </c>
      <c r="F16" s="68">
        <v>10</v>
      </c>
      <c r="G16" s="69">
        <f t="shared" si="0"/>
        <v>11</v>
      </c>
      <c r="H16" s="67">
        <v>2</v>
      </c>
      <c r="I16" s="132"/>
      <c r="J16" s="124"/>
    </row>
    <row r="17" spans="1:10" ht="16.899999999999999" customHeight="1">
      <c r="A17" s="49">
        <v>15</v>
      </c>
      <c r="B17" s="75" t="s">
        <v>67</v>
      </c>
      <c r="C17" s="75" t="s">
        <v>123</v>
      </c>
      <c r="D17" s="51">
        <v>3000</v>
      </c>
      <c r="E17" s="79" t="s">
        <v>30</v>
      </c>
      <c r="F17" s="68">
        <v>1.5</v>
      </c>
      <c r="G17" s="69">
        <f t="shared" si="0"/>
        <v>1.6500000000000001</v>
      </c>
      <c r="H17" s="67" t="s">
        <v>105</v>
      </c>
      <c r="I17" s="132"/>
      <c r="J17" s="124"/>
    </row>
    <row r="18" spans="1:10" ht="16.899999999999999" customHeight="1">
      <c r="A18" s="49">
        <v>16</v>
      </c>
      <c r="B18" s="75" t="s">
        <v>68</v>
      </c>
      <c r="C18" s="75" t="s">
        <v>82</v>
      </c>
      <c r="D18" s="51">
        <v>82500</v>
      </c>
      <c r="E18" s="79" t="s">
        <v>30</v>
      </c>
      <c r="F18" s="68">
        <v>8.25</v>
      </c>
      <c r="G18" s="69">
        <f t="shared" si="0"/>
        <v>9.0750000000000011</v>
      </c>
      <c r="H18" s="67">
        <v>2</v>
      </c>
      <c r="I18" s="132"/>
      <c r="J18" s="124"/>
    </row>
    <row r="19" spans="1:10" ht="16.899999999999999" customHeight="1">
      <c r="A19" s="49">
        <v>17</v>
      </c>
      <c r="B19" s="75" t="s">
        <v>68</v>
      </c>
      <c r="C19" s="75" t="s">
        <v>81</v>
      </c>
      <c r="D19" s="51">
        <v>20000</v>
      </c>
      <c r="E19" s="79" t="s">
        <v>30</v>
      </c>
      <c r="F19" s="68">
        <v>23.2</v>
      </c>
      <c r="G19" s="69">
        <f t="shared" si="0"/>
        <v>25.52</v>
      </c>
      <c r="H19" s="67">
        <v>2</v>
      </c>
      <c r="I19" s="132"/>
      <c r="J19" s="124"/>
    </row>
    <row r="20" spans="1:10" ht="16.899999999999999" customHeight="1">
      <c r="A20" s="49">
        <v>18</v>
      </c>
      <c r="B20" s="75" t="s">
        <v>68</v>
      </c>
      <c r="C20" s="75" t="s">
        <v>76</v>
      </c>
      <c r="D20" s="51">
        <v>240000</v>
      </c>
      <c r="E20" s="79" t="s">
        <v>30</v>
      </c>
      <c r="F20" s="68">
        <v>40.799999999999997</v>
      </c>
      <c r="G20" s="69">
        <f t="shared" si="0"/>
        <v>44.88</v>
      </c>
      <c r="H20" s="67" t="s">
        <v>105</v>
      </c>
      <c r="I20" s="132"/>
      <c r="J20" s="124"/>
    </row>
    <row r="21" spans="1:10" ht="16.899999999999999" customHeight="1">
      <c r="A21" s="49">
        <v>19</v>
      </c>
      <c r="B21" s="75" t="s">
        <v>68</v>
      </c>
      <c r="C21" s="75" t="s">
        <v>124</v>
      </c>
      <c r="D21" s="51">
        <v>55200</v>
      </c>
      <c r="E21" s="79" t="s">
        <v>30</v>
      </c>
      <c r="F21" s="68">
        <v>16.010000000000002</v>
      </c>
      <c r="G21" s="69">
        <f t="shared" si="0"/>
        <v>17.611000000000004</v>
      </c>
      <c r="H21" s="67" t="s">
        <v>105</v>
      </c>
      <c r="I21" s="132"/>
      <c r="J21" s="124"/>
    </row>
    <row r="22" spans="1:10" ht="16.899999999999999" customHeight="1">
      <c r="A22" s="49">
        <v>20</v>
      </c>
      <c r="B22" s="75" t="s">
        <v>68</v>
      </c>
      <c r="C22" s="82" t="s">
        <v>83</v>
      </c>
      <c r="D22" s="51">
        <v>24000</v>
      </c>
      <c r="E22" s="79" t="s">
        <v>30</v>
      </c>
      <c r="F22" s="68">
        <v>4.8</v>
      </c>
      <c r="G22" s="69">
        <f t="shared" si="0"/>
        <v>5.28</v>
      </c>
      <c r="H22" s="67" t="s">
        <v>105</v>
      </c>
      <c r="I22" s="132"/>
      <c r="J22" s="124"/>
    </row>
    <row r="23" spans="1:10" ht="16.899999999999999" customHeight="1">
      <c r="A23" s="49">
        <v>21</v>
      </c>
      <c r="B23" s="75" t="s">
        <v>68</v>
      </c>
      <c r="C23" s="75" t="s">
        <v>84</v>
      </c>
      <c r="D23" s="51">
        <v>35000</v>
      </c>
      <c r="E23" s="79" t="s">
        <v>30</v>
      </c>
      <c r="F23" s="68">
        <v>3.5</v>
      </c>
      <c r="G23" s="69">
        <f t="shared" si="0"/>
        <v>3.8500000000000005</v>
      </c>
      <c r="H23" s="67" t="s">
        <v>105</v>
      </c>
      <c r="I23" s="132"/>
      <c r="J23" s="124"/>
    </row>
    <row r="24" spans="1:10" ht="16.899999999999999" customHeight="1">
      <c r="A24" s="49">
        <v>22</v>
      </c>
      <c r="B24" s="75" t="s">
        <v>68</v>
      </c>
      <c r="C24" s="75" t="s">
        <v>75</v>
      </c>
      <c r="D24" s="51">
        <v>63000</v>
      </c>
      <c r="E24" s="79" t="s">
        <v>30</v>
      </c>
      <c r="F24" s="68">
        <v>18.899999999999999</v>
      </c>
      <c r="G24" s="69">
        <f t="shared" si="0"/>
        <v>20.79</v>
      </c>
      <c r="H24" s="67" t="s">
        <v>105</v>
      </c>
      <c r="I24" s="132"/>
      <c r="J24" s="124"/>
    </row>
    <row r="25" spans="1:10" ht="16.899999999999999" customHeight="1">
      <c r="A25" s="49">
        <v>23</v>
      </c>
      <c r="B25" s="75" t="s">
        <v>68</v>
      </c>
      <c r="C25" s="75" t="s">
        <v>125</v>
      </c>
      <c r="D25" s="51">
        <v>42000</v>
      </c>
      <c r="E25" s="79" t="s">
        <v>30</v>
      </c>
      <c r="F25" s="68">
        <v>8.4</v>
      </c>
      <c r="G25" s="69">
        <f t="shared" si="0"/>
        <v>9.240000000000002</v>
      </c>
      <c r="H25" s="67">
        <v>2</v>
      </c>
      <c r="I25" s="132"/>
      <c r="J25" s="124"/>
    </row>
    <row r="26" spans="1:10" ht="16.899999999999999" customHeight="1">
      <c r="A26" s="49">
        <v>24</v>
      </c>
      <c r="B26" s="75" t="s">
        <v>68</v>
      </c>
      <c r="C26" s="75" t="s">
        <v>85</v>
      </c>
      <c r="D26" s="51">
        <v>90000</v>
      </c>
      <c r="E26" s="79" t="s">
        <v>30</v>
      </c>
      <c r="F26" s="68">
        <v>27</v>
      </c>
      <c r="G26" s="69">
        <f t="shared" si="0"/>
        <v>29.700000000000003</v>
      </c>
      <c r="H26" s="67">
        <v>3</v>
      </c>
      <c r="I26" s="132"/>
      <c r="J26" s="124"/>
    </row>
    <row r="27" spans="1:10" ht="16.899999999999999" customHeight="1">
      <c r="A27" s="49">
        <v>25</v>
      </c>
      <c r="B27" s="75" t="s">
        <v>68</v>
      </c>
      <c r="C27" s="75" t="s">
        <v>126</v>
      </c>
      <c r="D27" s="51">
        <v>4000</v>
      </c>
      <c r="E27" s="79" t="s">
        <v>30</v>
      </c>
      <c r="F27" s="68">
        <v>8</v>
      </c>
      <c r="G27" s="69">
        <f t="shared" si="0"/>
        <v>8.8000000000000007</v>
      </c>
      <c r="H27" s="67">
        <v>2</v>
      </c>
      <c r="I27" s="132"/>
      <c r="J27" s="124"/>
    </row>
    <row r="28" spans="1:10" ht="16.899999999999999" customHeight="1">
      <c r="A28" s="49">
        <v>26</v>
      </c>
      <c r="B28" s="75" t="s">
        <v>68</v>
      </c>
      <c r="C28" s="75" t="s">
        <v>127</v>
      </c>
      <c r="D28" s="51">
        <v>50000</v>
      </c>
      <c r="E28" s="79" t="s">
        <v>30</v>
      </c>
      <c r="F28" s="68">
        <v>10</v>
      </c>
      <c r="G28" s="69">
        <f t="shared" si="0"/>
        <v>11</v>
      </c>
      <c r="H28" s="67">
        <v>2</v>
      </c>
      <c r="I28" s="132"/>
      <c r="J28" s="124"/>
    </row>
    <row r="29" spans="1:10" ht="16.899999999999999" customHeight="1">
      <c r="A29" s="49">
        <v>27</v>
      </c>
      <c r="B29" s="75" t="s">
        <v>68</v>
      </c>
      <c r="C29" s="75" t="s">
        <v>128</v>
      </c>
      <c r="D29" s="51">
        <v>18000</v>
      </c>
      <c r="E29" s="79" t="s">
        <v>30</v>
      </c>
      <c r="F29" s="68">
        <v>9</v>
      </c>
      <c r="G29" s="69">
        <f t="shared" si="0"/>
        <v>9.9</v>
      </c>
      <c r="H29" s="67" t="s">
        <v>105</v>
      </c>
      <c r="I29" s="132"/>
      <c r="J29" s="124"/>
    </row>
    <row r="30" spans="1:10" ht="16.899999999999999" customHeight="1">
      <c r="A30" s="49">
        <v>28</v>
      </c>
      <c r="B30" s="75" t="s">
        <v>86</v>
      </c>
      <c r="C30" s="75" t="s">
        <v>87</v>
      </c>
      <c r="D30" s="51">
        <v>19200</v>
      </c>
      <c r="E30" s="79" t="s">
        <v>30</v>
      </c>
      <c r="F30" s="68">
        <v>41.4</v>
      </c>
      <c r="G30" s="69">
        <f t="shared" si="0"/>
        <v>45.54</v>
      </c>
      <c r="H30" s="67">
        <v>4</v>
      </c>
      <c r="I30" s="132"/>
      <c r="J30" s="124"/>
    </row>
    <row r="31" spans="1:10" ht="16.899999999999999" customHeight="1">
      <c r="A31" s="49">
        <v>29</v>
      </c>
      <c r="B31" s="75" t="s">
        <v>69</v>
      </c>
      <c r="C31" s="75" t="s">
        <v>70</v>
      </c>
      <c r="D31" s="51">
        <v>112000</v>
      </c>
      <c r="E31" s="79" t="s">
        <v>30</v>
      </c>
      <c r="F31" s="68">
        <v>22.4</v>
      </c>
      <c r="G31" s="69">
        <f t="shared" si="0"/>
        <v>24.64</v>
      </c>
      <c r="H31" s="67">
        <v>4</v>
      </c>
      <c r="I31" s="132"/>
      <c r="J31" s="124"/>
    </row>
    <row r="32" spans="1:10" ht="16.899999999999999" customHeight="1">
      <c r="A32" s="49">
        <v>30</v>
      </c>
      <c r="B32" s="75" t="s">
        <v>129</v>
      </c>
      <c r="C32" s="75">
        <v>603841</v>
      </c>
      <c r="D32" s="51">
        <v>400</v>
      </c>
      <c r="E32" s="79" t="s">
        <v>30</v>
      </c>
      <c r="F32" s="68">
        <v>29.6</v>
      </c>
      <c r="G32" s="69">
        <f t="shared" si="0"/>
        <v>32.56</v>
      </c>
      <c r="H32" s="67">
        <v>3</v>
      </c>
      <c r="I32" s="132"/>
      <c r="J32" s="124"/>
    </row>
    <row r="33" spans="1:10" ht="16.899999999999999" customHeight="1">
      <c r="A33" s="49">
        <v>31</v>
      </c>
      <c r="B33" s="75" t="s">
        <v>130</v>
      </c>
      <c r="C33" s="75" t="s">
        <v>131</v>
      </c>
      <c r="D33" s="51">
        <v>16000</v>
      </c>
      <c r="E33" s="79" t="s">
        <v>30</v>
      </c>
      <c r="F33" s="68">
        <v>6.4</v>
      </c>
      <c r="G33" s="69">
        <f t="shared" si="0"/>
        <v>7.0400000000000009</v>
      </c>
      <c r="H33" s="67">
        <v>2</v>
      </c>
      <c r="I33" s="132"/>
      <c r="J33" s="124"/>
    </row>
    <row r="34" spans="1:10" ht="16.899999999999999" customHeight="1">
      <c r="A34" s="49">
        <v>32</v>
      </c>
      <c r="B34" s="75" t="s">
        <v>130</v>
      </c>
      <c r="C34" s="75" t="s">
        <v>132</v>
      </c>
      <c r="D34" s="51">
        <v>9600</v>
      </c>
      <c r="E34" s="79" t="s">
        <v>30</v>
      </c>
      <c r="F34" s="68">
        <v>14.4</v>
      </c>
      <c r="G34" s="69">
        <f t="shared" si="0"/>
        <v>15.840000000000002</v>
      </c>
      <c r="H34" s="67">
        <v>4</v>
      </c>
      <c r="I34" s="132"/>
      <c r="J34" s="124"/>
    </row>
    <row r="35" spans="1:10" ht="16.899999999999999" customHeight="1">
      <c r="A35" s="49">
        <v>33</v>
      </c>
      <c r="B35" s="75" t="s">
        <v>130</v>
      </c>
      <c r="C35" s="75" t="s">
        <v>131</v>
      </c>
      <c r="D35" s="51">
        <v>8000</v>
      </c>
      <c r="E35" s="79" t="s">
        <v>30</v>
      </c>
      <c r="F35" s="68">
        <v>12</v>
      </c>
      <c r="G35" s="69">
        <f t="shared" si="0"/>
        <v>13.200000000000001</v>
      </c>
      <c r="H35" s="67">
        <v>10</v>
      </c>
      <c r="I35" s="132"/>
      <c r="J35" s="124"/>
    </row>
    <row r="36" spans="1:10" ht="16.899999999999999" customHeight="1">
      <c r="A36" s="49">
        <v>34</v>
      </c>
      <c r="B36" s="75" t="s">
        <v>71</v>
      </c>
      <c r="C36" s="75" t="s">
        <v>133</v>
      </c>
      <c r="D36" s="51">
        <v>20000</v>
      </c>
      <c r="E36" s="79" t="s">
        <v>30</v>
      </c>
      <c r="F36" s="68">
        <v>4</v>
      </c>
      <c r="G36" s="69">
        <f t="shared" si="0"/>
        <v>4.4000000000000004</v>
      </c>
      <c r="H36" s="67">
        <v>2</v>
      </c>
      <c r="I36" s="132"/>
      <c r="J36" s="124"/>
    </row>
    <row r="37" spans="1:10" ht="16.899999999999999" customHeight="1">
      <c r="A37" s="49">
        <v>35</v>
      </c>
      <c r="B37" s="75" t="s">
        <v>71</v>
      </c>
      <c r="C37" s="75" t="s">
        <v>134</v>
      </c>
      <c r="D37" s="51">
        <v>20000</v>
      </c>
      <c r="E37" s="79" t="s">
        <v>30</v>
      </c>
      <c r="F37" s="68">
        <v>10</v>
      </c>
      <c r="G37" s="69">
        <f t="shared" si="0"/>
        <v>11</v>
      </c>
      <c r="H37" s="67" t="s">
        <v>105</v>
      </c>
      <c r="I37" s="132"/>
      <c r="J37" s="124"/>
    </row>
    <row r="38" spans="1:10" ht="16.899999999999999" customHeight="1">
      <c r="A38" s="49">
        <v>36</v>
      </c>
      <c r="B38" s="75" t="s">
        <v>135</v>
      </c>
      <c r="C38" s="75" t="s">
        <v>136</v>
      </c>
      <c r="D38" s="51">
        <v>50000</v>
      </c>
      <c r="E38" s="79" t="s">
        <v>30</v>
      </c>
      <c r="F38" s="68">
        <v>100</v>
      </c>
      <c r="G38" s="69">
        <f t="shared" si="0"/>
        <v>110.00000000000001</v>
      </c>
      <c r="H38" s="67">
        <v>3</v>
      </c>
      <c r="I38" s="132"/>
      <c r="J38" s="124"/>
    </row>
    <row r="39" spans="1:10" ht="16.899999999999999" customHeight="1">
      <c r="A39" s="49">
        <v>37</v>
      </c>
      <c r="B39" s="75" t="s">
        <v>88</v>
      </c>
      <c r="C39" s="75" t="s">
        <v>89</v>
      </c>
      <c r="D39" s="51">
        <v>500</v>
      </c>
      <c r="E39" s="79" t="s">
        <v>30</v>
      </c>
      <c r="F39" s="68">
        <v>9</v>
      </c>
      <c r="G39" s="69">
        <f t="shared" si="0"/>
        <v>9.9</v>
      </c>
      <c r="H39" s="67">
        <v>3</v>
      </c>
      <c r="I39" s="132"/>
      <c r="J39" s="124"/>
    </row>
    <row r="40" spans="1:10" ht="16.899999999999999" customHeight="1">
      <c r="A40" s="49">
        <v>38</v>
      </c>
      <c r="B40" s="75" t="s">
        <v>88</v>
      </c>
      <c r="C40" s="75" t="s">
        <v>90</v>
      </c>
      <c r="D40" s="51">
        <v>500</v>
      </c>
      <c r="E40" s="79" t="s">
        <v>30</v>
      </c>
      <c r="F40" s="68">
        <v>9</v>
      </c>
      <c r="G40" s="69">
        <f t="shared" si="0"/>
        <v>9.9</v>
      </c>
      <c r="H40" s="67">
        <v>3</v>
      </c>
      <c r="I40" s="132"/>
      <c r="J40" s="124"/>
    </row>
    <row r="41" spans="1:10" ht="16.899999999999999" customHeight="1">
      <c r="A41" s="49">
        <v>39</v>
      </c>
      <c r="B41" s="75" t="s">
        <v>137</v>
      </c>
      <c r="C41" s="75" t="s">
        <v>138</v>
      </c>
      <c r="D41" s="51">
        <v>5000</v>
      </c>
      <c r="E41" s="79" t="s">
        <v>30</v>
      </c>
      <c r="F41" s="68">
        <v>2</v>
      </c>
      <c r="G41" s="69">
        <f t="shared" si="0"/>
        <v>2.2000000000000002</v>
      </c>
      <c r="H41" s="67">
        <v>3</v>
      </c>
      <c r="I41" s="132"/>
      <c r="J41" s="124"/>
    </row>
    <row r="42" spans="1:10" ht="16.899999999999999" customHeight="1">
      <c r="A42" s="49">
        <v>40</v>
      </c>
      <c r="B42" s="75" t="s">
        <v>91</v>
      </c>
      <c r="C42" s="75" t="s">
        <v>144</v>
      </c>
      <c r="D42" s="51">
        <v>30000</v>
      </c>
      <c r="E42" s="79" t="s">
        <v>30</v>
      </c>
      <c r="F42" s="68">
        <v>11.75</v>
      </c>
      <c r="G42" s="69">
        <f t="shared" si="0"/>
        <v>12.925000000000001</v>
      </c>
      <c r="H42" s="67">
        <v>1</v>
      </c>
      <c r="I42" s="132"/>
      <c r="J42" s="124"/>
    </row>
    <row r="43" spans="1:10" ht="16.899999999999999" customHeight="1">
      <c r="A43" s="49">
        <v>41</v>
      </c>
      <c r="B43" s="75" t="s">
        <v>91</v>
      </c>
      <c r="C43" s="75" t="s">
        <v>145</v>
      </c>
      <c r="D43" s="51">
        <v>14000</v>
      </c>
      <c r="E43" s="79" t="s">
        <v>30</v>
      </c>
      <c r="F43" s="68">
        <v>11.57</v>
      </c>
      <c r="G43" s="69">
        <f t="shared" si="0"/>
        <v>12.727000000000002</v>
      </c>
      <c r="H43" s="67">
        <v>1</v>
      </c>
      <c r="I43" s="132"/>
      <c r="J43" s="124"/>
    </row>
    <row r="44" spans="1:10" ht="16.899999999999999" customHeight="1">
      <c r="A44" s="49">
        <v>42</v>
      </c>
      <c r="B44" s="75" t="s">
        <v>91</v>
      </c>
      <c r="C44" s="75" t="s">
        <v>99</v>
      </c>
      <c r="D44" s="51">
        <v>10000</v>
      </c>
      <c r="E44" s="79" t="s">
        <v>30</v>
      </c>
      <c r="F44" s="68">
        <v>9.43</v>
      </c>
      <c r="G44" s="69">
        <f t="shared" si="0"/>
        <v>10.373000000000001</v>
      </c>
      <c r="H44" s="67">
        <v>1</v>
      </c>
      <c r="I44" s="132"/>
      <c r="J44" s="124"/>
    </row>
    <row r="45" spans="1:10" ht="16.899999999999999" customHeight="1">
      <c r="A45" s="49">
        <v>43</v>
      </c>
      <c r="B45" s="75" t="s">
        <v>91</v>
      </c>
      <c r="C45" s="75" t="s">
        <v>77</v>
      </c>
      <c r="D45" s="51">
        <v>30000</v>
      </c>
      <c r="E45" s="79" t="s">
        <v>30</v>
      </c>
      <c r="F45" s="68">
        <v>13.05</v>
      </c>
      <c r="G45" s="69">
        <f t="shared" si="0"/>
        <v>14.355000000000002</v>
      </c>
      <c r="H45" s="67">
        <v>1</v>
      </c>
      <c r="I45" s="132"/>
      <c r="J45" s="124"/>
    </row>
    <row r="46" spans="1:10" ht="16.899999999999999" customHeight="1">
      <c r="A46" s="49">
        <v>44</v>
      </c>
      <c r="B46" s="75" t="s">
        <v>91</v>
      </c>
      <c r="C46" s="75" t="s">
        <v>146</v>
      </c>
      <c r="D46" s="51">
        <v>10000</v>
      </c>
      <c r="E46" s="79" t="s">
        <v>30</v>
      </c>
      <c r="F46" s="68">
        <v>2.61</v>
      </c>
      <c r="G46" s="69">
        <f t="shared" si="0"/>
        <v>2.871</v>
      </c>
      <c r="H46" s="67">
        <v>1</v>
      </c>
      <c r="I46" s="132"/>
      <c r="J46" s="124"/>
    </row>
    <row r="47" spans="1:10" ht="16.899999999999999" customHeight="1">
      <c r="A47" s="49">
        <v>45</v>
      </c>
      <c r="B47" s="75" t="s">
        <v>91</v>
      </c>
      <c r="C47" s="75" t="s">
        <v>147</v>
      </c>
      <c r="D47" s="51">
        <v>12000</v>
      </c>
      <c r="E47" s="79" t="s">
        <v>30</v>
      </c>
      <c r="F47" s="68">
        <v>10.96</v>
      </c>
      <c r="G47" s="69">
        <f t="shared" si="0"/>
        <v>12.056000000000003</v>
      </c>
      <c r="H47" s="67">
        <v>8</v>
      </c>
      <c r="I47" s="132"/>
      <c r="J47" s="124"/>
    </row>
    <row r="48" spans="1:10" ht="16.899999999999999" customHeight="1">
      <c r="A48" s="49">
        <v>46</v>
      </c>
      <c r="B48" s="75" t="s">
        <v>91</v>
      </c>
      <c r="C48" s="75" t="s">
        <v>93</v>
      </c>
      <c r="D48" s="51">
        <v>4000</v>
      </c>
      <c r="E48" s="79" t="s">
        <v>30</v>
      </c>
      <c r="F48" s="68">
        <v>11.14</v>
      </c>
      <c r="G48" s="69">
        <f t="shared" si="0"/>
        <v>12.254000000000001</v>
      </c>
      <c r="H48" s="67">
        <v>8</v>
      </c>
      <c r="I48" s="132"/>
      <c r="J48" s="124"/>
    </row>
    <row r="49" spans="1:10" ht="16.899999999999999" customHeight="1">
      <c r="A49" s="49">
        <v>47</v>
      </c>
      <c r="B49" s="75" t="s">
        <v>91</v>
      </c>
      <c r="C49" s="75" t="s">
        <v>148</v>
      </c>
      <c r="D49" s="51">
        <v>8000</v>
      </c>
      <c r="E49" s="79" t="s">
        <v>30</v>
      </c>
      <c r="F49" s="68">
        <v>22.97</v>
      </c>
      <c r="G49" s="69">
        <f t="shared" si="0"/>
        <v>25.266999999999999</v>
      </c>
      <c r="H49" s="67">
        <v>8</v>
      </c>
      <c r="I49" s="132"/>
      <c r="J49" s="124"/>
    </row>
    <row r="50" spans="1:10" ht="16.899999999999999" customHeight="1">
      <c r="A50" s="49">
        <v>48</v>
      </c>
      <c r="B50" s="75" t="s">
        <v>91</v>
      </c>
      <c r="C50" s="75" t="s">
        <v>149</v>
      </c>
      <c r="D50" s="51">
        <v>4000</v>
      </c>
      <c r="E50" s="79" t="s">
        <v>30</v>
      </c>
      <c r="F50" s="68">
        <v>13.22</v>
      </c>
      <c r="G50" s="69">
        <f t="shared" si="0"/>
        <v>14.542000000000002</v>
      </c>
      <c r="H50" s="67">
        <v>8</v>
      </c>
      <c r="I50" s="132"/>
      <c r="J50" s="124"/>
    </row>
    <row r="51" spans="1:10" ht="16.899999999999999" customHeight="1">
      <c r="A51" s="49">
        <v>49</v>
      </c>
      <c r="B51" s="75" t="s">
        <v>91</v>
      </c>
      <c r="C51" s="75" t="s">
        <v>150</v>
      </c>
      <c r="D51" s="51">
        <v>30000</v>
      </c>
      <c r="E51" s="79" t="s">
        <v>30</v>
      </c>
      <c r="F51" s="68">
        <v>8.6999999999999993</v>
      </c>
      <c r="G51" s="69">
        <f t="shared" si="0"/>
        <v>9.57</v>
      </c>
      <c r="H51" s="67">
        <v>8</v>
      </c>
      <c r="I51" s="132"/>
      <c r="J51" s="124"/>
    </row>
    <row r="52" spans="1:10" ht="16.899999999999999" customHeight="1">
      <c r="A52" s="49">
        <v>50</v>
      </c>
      <c r="B52" s="75" t="s">
        <v>91</v>
      </c>
      <c r="C52" s="75" t="s">
        <v>151</v>
      </c>
      <c r="D52" s="51">
        <v>9000</v>
      </c>
      <c r="E52" s="79" t="s">
        <v>30</v>
      </c>
      <c r="F52" s="68">
        <v>30.67</v>
      </c>
      <c r="G52" s="69">
        <f t="shared" si="0"/>
        <v>33.737000000000002</v>
      </c>
      <c r="H52" s="67">
        <v>8</v>
      </c>
      <c r="I52" s="132"/>
      <c r="J52" s="124"/>
    </row>
    <row r="53" spans="1:10" ht="16.899999999999999" customHeight="1">
      <c r="A53" s="49">
        <v>51</v>
      </c>
      <c r="B53" s="75" t="s">
        <v>91</v>
      </c>
      <c r="C53" s="75" t="s">
        <v>95</v>
      </c>
      <c r="D53" s="51">
        <v>6000</v>
      </c>
      <c r="E53" s="79" t="s">
        <v>30</v>
      </c>
      <c r="F53" s="68">
        <v>23.06</v>
      </c>
      <c r="G53" s="69">
        <f t="shared" si="0"/>
        <v>25.366</v>
      </c>
      <c r="H53" s="67">
        <v>8</v>
      </c>
      <c r="I53" s="132"/>
      <c r="J53" s="124"/>
    </row>
    <row r="54" spans="1:10" ht="16.899999999999999" customHeight="1">
      <c r="A54" s="49">
        <v>52</v>
      </c>
      <c r="B54" s="75" t="s">
        <v>91</v>
      </c>
      <c r="C54" s="75" t="s">
        <v>96</v>
      </c>
      <c r="D54" s="51">
        <v>6000</v>
      </c>
      <c r="E54" s="79" t="s">
        <v>30</v>
      </c>
      <c r="F54" s="68">
        <v>26.1</v>
      </c>
      <c r="G54" s="69">
        <f t="shared" si="0"/>
        <v>28.710000000000004</v>
      </c>
      <c r="H54" s="67">
        <v>8</v>
      </c>
      <c r="I54" s="132"/>
      <c r="J54" s="124"/>
    </row>
    <row r="55" spans="1:10" ht="16.899999999999999" customHeight="1">
      <c r="A55" s="49">
        <v>53</v>
      </c>
      <c r="B55" s="75" t="s">
        <v>91</v>
      </c>
      <c r="C55" s="75" t="s">
        <v>97</v>
      </c>
      <c r="D55" s="51">
        <v>6000</v>
      </c>
      <c r="E55" s="79" t="s">
        <v>30</v>
      </c>
      <c r="F55" s="68">
        <v>31.32</v>
      </c>
      <c r="G55" s="69">
        <f t="shared" si="0"/>
        <v>34.452000000000005</v>
      </c>
      <c r="H55" s="67">
        <v>8</v>
      </c>
      <c r="I55" s="132"/>
      <c r="J55" s="124"/>
    </row>
    <row r="56" spans="1:10" ht="16.899999999999999" customHeight="1">
      <c r="A56" s="49">
        <v>54</v>
      </c>
      <c r="B56" s="75" t="s">
        <v>91</v>
      </c>
      <c r="C56" s="75" t="s">
        <v>152</v>
      </c>
      <c r="D56" s="51">
        <v>4500</v>
      </c>
      <c r="E56" s="79" t="s">
        <v>30</v>
      </c>
      <c r="F56" s="68">
        <v>29.04</v>
      </c>
      <c r="G56" s="69">
        <f t="shared" si="0"/>
        <v>31.944000000000003</v>
      </c>
      <c r="H56" s="67">
        <v>8</v>
      </c>
      <c r="I56" s="132"/>
      <c r="J56" s="124"/>
    </row>
    <row r="57" spans="1:10" ht="16.899999999999999" customHeight="1">
      <c r="A57" s="49">
        <v>55</v>
      </c>
      <c r="B57" s="75" t="s">
        <v>91</v>
      </c>
      <c r="C57" s="75" t="s">
        <v>98</v>
      </c>
      <c r="D57" s="51">
        <v>1500</v>
      </c>
      <c r="E57" s="79" t="s">
        <v>30</v>
      </c>
      <c r="F57" s="68">
        <v>10.01</v>
      </c>
      <c r="G57" s="69">
        <f t="shared" si="0"/>
        <v>11.011000000000001</v>
      </c>
      <c r="H57" s="67">
        <v>8</v>
      </c>
      <c r="I57" s="132"/>
      <c r="J57" s="124"/>
    </row>
    <row r="58" spans="1:10" ht="16.899999999999999" customHeight="1">
      <c r="A58" s="49">
        <v>56</v>
      </c>
      <c r="B58" s="75" t="s">
        <v>91</v>
      </c>
      <c r="C58" s="75" t="s">
        <v>153</v>
      </c>
      <c r="D58" s="51">
        <v>10000</v>
      </c>
      <c r="E58" s="79" t="s">
        <v>30</v>
      </c>
      <c r="F58" s="68">
        <v>43.5</v>
      </c>
      <c r="G58" s="69">
        <f t="shared" si="0"/>
        <v>47.85</v>
      </c>
      <c r="H58" s="67">
        <v>9</v>
      </c>
      <c r="I58" s="132"/>
      <c r="J58" s="124"/>
    </row>
    <row r="59" spans="1:10" ht="16.899999999999999" customHeight="1">
      <c r="A59" s="49">
        <v>57</v>
      </c>
      <c r="B59" s="75" t="s">
        <v>91</v>
      </c>
      <c r="C59" s="75" t="s">
        <v>154</v>
      </c>
      <c r="D59" s="51">
        <v>16000</v>
      </c>
      <c r="E59" s="79" t="s">
        <v>30</v>
      </c>
      <c r="F59" s="68">
        <v>70.989999999999995</v>
      </c>
      <c r="G59" s="69">
        <f t="shared" si="0"/>
        <v>78.088999999999999</v>
      </c>
      <c r="H59" s="67">
        <v>9</v>
      </c>
      <c r="I59" s="132"/>
      <c r="J59" s="124"/>
    </row>
    <row r="60" spans="1:10" ht="16.899999999999999" customHeight="1">
      <c r="A60" s="49">
        <v>58</v>
      </c>
      <c r="B60" s="75" t="s">
        <v>91</v>
      </c>
      <c r="C60" s="75" t="s">
        <v>94</v>
      </c>
      <c r="D60" s="51">
        <v>2000</v>
      </c>
      <c r="E60" s="79" t="s">
        <v>30</v>
      </c>
      <c r="F60" s="68">
        <v>9.66</v>
      </c>
      <c r="G60" s="69">
        <f t="shared" si="0"/>
        <v>10.626000000000001</v>
      </c>
      <c r="H60" s="67">
        <v>9</v>
      </c>
      <c r="I60" s="132"/>
      <c r="J60" s="124"/>
    </row>
    <row r="61" spans="1:10" ht="16.899999999999999" customHeight="1">
      <c r="A61" s="49">
        <v>59</v>
      </c>
      <c r="B61" s="75" t="s">
        <v>91</v>
      </c>
      <c r="C61" s="75" t="s">
        <v>155</v>
      </c>
      <c r="D61" s="51">
        <v>12000</v>
      </c>
      <c r="E61" s="79" t="s">
        <v>30</v>
      </c>
      <c r="F61" s="68">
        <v>61.6</v>
      </c>
      <c r="G61" s="69">
        <f t="shared" si="0"/>
        <v>67.760000000000005</v>
      </c>
      <c r="H61" s="67">
        <v>9</v>
      </c>
      <c r="I61" s="132"/>
      <c r="J61" s="124"/>
    </row>
    <row r="62" spans="1:10" ht="16.899999999999999" customHeight="1">
      <c r="A62" s="49">
        <v>60</v>
      </c>
      <c r="B62" s="75" t="s">
        <v>91</v>
      </c>
      <c r="C62" s="75" t="s">
        <v>78</v>
      </c>
      <c r="D62" s="51">
        <v>12000</v>
      </c>
      <c r="E62" s="79" t="s">
        <v>30</v>
      </c>
      <c r="F62" s="68">
        <v>10.44</v>
      </c>
      <c r="G62" s="69">
        <f t="shared" si="0"/>
        <v>11.484</v>
      </c>
      <c r="H62" s="67">
        <v>9</v>
      </c>
      <c r="I62" s="132"/>
      <c r="J62" s="124"/>
    </row>
    <row r="63" spans="1:10" ht="16.899999999999999" customHeight="1">
      <c r="A63" s="49">
        <v>61</v>
      </c>
      <c r="B63" s="75" t="s">
        <v>91</v>
      </c>
      <c r="C63" s="75" t="s">
        <v>144</v>
      </c>
      <c r="D63" s="51">
        <v>30000</v>
      </c>
      <c r="E63" s="79" t="s">
        <v>30</v>
      </c>
      <c r="F63" s="68">
        <v>11.75</v>
      </c>
      <c r="G63" s="69">
        <f t="shared" si="0"/>
        <v>12.925000000000001</v>
      </c>
      <c r="H63" s="67">
        <v>9</v>
      </c>
      <c r="I63" s="132"/>
      <c r="J63" s="124"/>
    </row>
    <row r="64" spans="1:10" ht="16.899999999999999" customHeight="1">
      <c r="A64" s="49">
        <v>62</v>
      </c>
      <c r="B64" s="75" t="s">
        <v>91</v>
      </c>
      <c r="C64" s="75" t="s">
        <v>145</v>
      </c>
      <c r="D64" s="51">
        <v>14000</v>
      </c>
      <c r="E64" s="79" t="s">
        <v>30</v>
      </c>
      <c r="F64" s="68">
        <v>11.57</v>
      </c>
      <c r="G64" s="69">
        <f t="shared" si="0"/>
        <v>12.727000000000002</v>
      </c>
      <c r="H64" s="67">
        <v>9</v>
      </c>
      <c r="I64" s="132"/>
      <c r="J64" s="124"/>
    </row>
    <row r="65" spans="1:10" ht="16.899999999999999" customHeight="1">
      <c r="A65" s="49">
        <v>63</v>
      </c>
      <c r="B65" s="75" t="s">
        <v>91</v>
      </c>
      <c r="C65" s="75" t="s">
        <v>77</v>
      </c>
      <c r="D65" s="51">
        <v>30000</v>
      </c>
      <c r="E65" s="79" t="s">
        <v>30</v>
      </c>
      <c r="F65" s="68">
        <v>13.05</v>
      </c>
      <c r="G65" s="69">
        <f t="shared" si="0"/>
        <v>14.355000000000002</v>
      </c>
      <c r="H65" s="67">
        <v>9</v>
      </c>
      <c r="I65" s="132"/>
      <c r="J65" s="124"/>
    </row>
    <row r="66" spans="1:10" ht="16.899999999999999" customHeight="1">
      <c r="A66" s="49">
        <v>64</v>
      </c>
      <c r="B66" s="75" t="s">
        <v>91</v>
      </c>
      <c r="C66" s="75" t="s">
        <v>99</v>
      </c>
      <c r="D66" s="51">
        <v>10000</v>
      </c>
      <c r="E66" s="79" t="s">
        <v>30</v>
      </c>
      <c r="F66" s="68">
        <v>9.43</v>
      </c>
      <c r="G66" s="69">
        <f t="shared" si="0"/>
        <v>10.373000000000001</v>
      </c>
      <c r="H66" s="67">
        <v>9</v>
      </c>
      <c r="I66" s="132"/>
      <c r="J66" s="124"/>
    </row>
    <row r="67" spans="1:10" ht="16.899999999999999" customHeight="1">
      <c r="A67" s="49">
        <v>65</v>
      </c>
      <c r="B67" s="75" t="s">
        <v>91</v>
      </c>
      <c r="C67" s="75" t="s">
        <v>92</v>
      </c>
      <c r="D67" s="51">
        <v>12000</v>
      </c>
      <c r="E67" s="79" t="s">
        <v>30</v>
      </c>
      <c r="F67" s="68">
        <v>32.36</v>
      </c>
      <c r="G67" s="69">
        <f t="shared" si="0"/>
        <v>35.596000000000004</v>
      </c>
      <c r="H67" s="67">
        <v>9</v>
      </c>
      <c r="I67" s="132"/>
      <c r="J67" s="124"/>
    </row>
    <row r="68" spans="1:10" ht="16.899999999999999" customHeight="1">
      <c r="A68" s="49">
        <v>66</v>
      </c>
      <c r="B68" s="75" t="s">
        <v>91</v>
      </c>
      <c r="C68" s="75" t="s">
        <v>156</v>
      </c>
      <c r="D68" s="51">
        <v>12000</v>
      </c>
      <c r="E68" s="79" t="s">
        <v>30</v>
      </c>
      <c r="F68" s="68">
        <v>41.24</v>
      </c>
      <c r="G68" s="69">
        <f t="shared" si="0"/>
        <v>45.364000000000004</v>
      </c>
      <c r="H68" s="67">
        <v>9</v>
      </c>
      <c r="I68" s="132"/>
      <c r="J68" s="124"/>
    </row>
    <row r="69" spans="1:10" ht="16.899999999999999" customHeight="1">
      <c r="A69" s="49">
        <v>67</v>
      </c>
      <c r="B69" s="75" t="s">
        <v>91</v>
      </c>
      <c r="C69" s="75" t="s">
        <v>146</v>
      </c>
      <c r="D69" s="51">
        <v>60000</v>
      </c>
      <c r="E69" s="79" t="s">
        <v>30</v>
      </c>
      <c r="F69" s="68">
        <v>15.66</v>
      </c>
      <c r="G69" s="69">
        <f t="shared" si="0"/>
        <v>17.226000000000003</v>
      </c>
      <c r="H69" s="67">
        <v>9</v>
      </c>
      <c r="I69" s="132"/>
      <c r="J69" s="124"/>
    </row>
    <row r="70" spans="1:10" ht="16.899999999999999" customHeight="1">
      <c r="A70" s="49">
        <v>68</v>
      </c>
      <c r="B70" s="75" t="s">
        <v>61</v>
      </c>
      <c r="C70" s="75" t="s">
        <v>101</v>
      </c>
      <c r="D70" s="51">
        <v>9000</v>
      </c>
      <c r="E70" s="79" t="s">
        <v>62</v>
      </c>
      <c r="F70" s="68">
        <v>29.7</v>
      </c>
      <c r="G70" s="69">
        <f t="shared" si="0"/>
        <v>32.67</v>
      </c>
      <c r="H70" s="67">
        <v>10</v>
      </c>
      <c r="I70" s="132"/>
      <c r="J70" s="124"/>
    </row>
    <row r="71" spans="1:10" ht="16.899999999999999" customHeight="1">
      <c r="A71" s="49">
        <v>69</v>
      </c>
      <c r="B71" s="75" t="s">
        <v>61</v>
      </c>
      <c r="C71" s="75" t="s">
        <v>157</v>
      </c>
      <c r="D71" s="51">
        <v>18000</v>
      </c>
      <c r="E71" s="79" t="s">
        <v>62</v>
      </c>
      <c r="F71" s="68">
        <v>59.4</v>
      </c>
      <c r="G71" s="69">
        <f t="shared" si="0"/>
        <v>65.34</v>
      </c>
      <c r="H71" s="67">
        <v>10</v>
      </c>
      <c r="I71" s="132"/>
      <c r="J71" s="124"/>
    </row>
    <row r="72" spans="1:10" ht="16.899999999999999" customHeight="1">
      <c r="A72" s="49">
        <v>70</v>
      </c>
      <c r="B72" s="75" t="s">
        <v>61</v>
      </c>
      <c r="C72" s="75" t="s">
        <v>103</v>
      </c>
      <c r="D72" s="51">
        <v>6000</v>
      </c>
      <c r="E72" s="79" t="s">
        <v>62</v>
      </c>
      <c r="F72" s="68">
        <v>19.8</v>
      </c>
      <c r="G72" s="69">
        <f t="shared" si="0"/>
        <v>21.78</v>
      </c>
      <c r="H72" s="67">
        <v>10</v>
      </c>
      <c r="I72" s="132"/>
      <c r="J72" s="124"/>
    </row>
    <row r="73" spans="1:10" ht="16.899999999999999" customHeight="1">
      <c r="A73" s="49">
        <v>71</v>
      </c>
      <c r="B73" s="75" t="s">
        <v>61</v>
      </c>
      <c r="C73" s="75" t="s">
        <v>158</v>
      </c>
      <c r="D73" s="51">
        <v>12000</v>
      </c>
      <c r="E73" s="79" t="s">
        <v>62</v>
      </c>
      <c r="F73" s="68">
        <v>60</v>
      </c>
      <c r="G73" s="69">
        <f t="shared" si="0"/>
        <v>66</v>
      </c>
      <c r="H73" s="67">
        <v>10</v>
      </c>
      <c r="I73" s="132"/>
      <c r="J73" s="124"/>
    </row>
    <row r="74" spans="1:10" ht="16.899999999999999" customHeight="1">
      <c r="A74" s="49">
        <v>72</v>
      </c>
      <c r="B74" s="75" t="s">
        <v>61</v>
      </c>
      <c r="C74" s="75" t="s">
        <v>159</v>
      </c>
      <c r="D74" s="51">
        <v>4000</v>
      </c>
      <c r="E74" s="79" t="s">
        <v>62</v>
      </c>
      <c r="F74" s="68">
        <v>13.2</v>
      </c>
      <c r="G74" s="69">
        <f t="shared" si="0"/>
        <v>14.52</v>
      </c>
      <c r="H74" s="67">
        <v>1</v>
      </c>
      <c r="I74" s="132"/>
      <c r="J74" s="124"/>
    </row>
    <row r="75" spans="1:10" ht="16.899999999999999" customHeight="1">
      <c r="A75" s="49">
        <v>73</v>
      </c>
      <c r="B75" s="75" t="s">
        <v>61</v>
      </c>
      <c r="C75" s="75" t="s">
        <v>160</v>
      </c>
      <c r="D75" s="51">
        <v>20000</v>
      </c>
      <c r="E75" s="79" t="s">
        <v>62</v>
      </c>
      <c r="F75" s="68">
        <v>66</v>
      </c>
      <c r="G75" s="69">
        <f t="shared" si="0"/>
        <v>72.600000000000009</v>
      </c>
      <c r="H75" s="67">
        <v>1</v>
      </c>
      <c r="I75" s="132"/>
      <c r="J75" s="124"/>
    </row>
    <row r="76" spans="1:10" ht="16.899999999999999" customHeight="1">
      <c r="A76" s="49">
        <v>74</v>
      </c>
      <c r="B76" s="75" t="s">
        <v>61</v>
      </c>
      <c r="C76" s="75" t="s">
        <v>161</v>
      </c>
      <c r="D76" s="51">
        <v>6000</v>
      </c>
      <c r="E76" s="79" t="s">
        <v>62</v>
      </c>
      <c r="F76" s="68">
        <v>19.8</v>
      </c>
      <c r="G76" s="69">
        <f t="shared" si="0"/>
        <v>21.78</v>
      </c>
      <c r="H76" s="67">
        <v>1</v>
      </c>
      <c r="I76" s="132"/>
      <c r="J76" s="124"/>
    </row>
    <row r="77" spans="1:10" ht="16.899999999999999" customHeight="1">
      <c r="A77" s="49">
        <v>75</v>
      </c>
      <c r="B77" s="75" t="s">
        <v>61</v>
      </c>
      <c r="C77" s="75" t="s">
        <v>162</v>
      </c>
      <c r="D77" s="51">
        <v>14000</v>
      </c>
      <c r="E77" s="79" t="s">
        <v>62</v>
      </c>
      <c r="F77" s="68">
        <v>46.2</v>
      </c>
      <c r="G77" s="69">
        <f t="shared" si="0"/>
        <v>50.820000000000007</v>
      </c>
      <c r="H77" s="67">
        <v>1</v>
      </c>
      <c r="I77" s="132"/>
      <c r="J77" s="124"/>
    </row>
    <row r="78" spans="1:10" ht="16.899999999999999" customHeight="1">
      <c r="A78" s="49">
        <v>76</v>
      </c>
      <c r="B78" s="75" t="s">
        <v>61</v>
      </c>
      <c r="C78" s="75" t="s">
        <v>163</v>
      </c>
      <c r="D78" s="51">
        <v>2000</v>
      </c>
      <c r="E78" s="79" t="s">
        <v>62</v>
      </c>
      <c r="F78" s="68">
        <v>6.6</v>
      </c>
      <c r="G78" s="69">
        <f t="shared" si="0"/>
        <v>7.26</v>
      </c>
      <c r="H78" s="67">
        <v>10</v>
      </c>
      <c r="I78" s="132"/>
      <c r="J78" s="124"/>
    </row>
    <row r="79" spans="1:10" ht="16.899999999999999" customHeight="1">
      <c r="A79" s="49">
        <v>77</v>
      </c>
      <c r="B79" s="75" t="s">
        <v>61</v>
      </c>
      <c r="C79" s="75" t="s">
        <v>102</v>
      </c>
      <c r="D79" s="51">
        <v>9000</v>
      </c>
      <c r="E79" s="79" t="s">
        <v>62</v>
      </c>
      <c r="F79" s="68">
        <v>29.7</v>
      </c>
      <c r="G79" s="69">
        <f t="shared" si="0"/>
        <v>32.67</v>
      </c>
      <c r="H79" s="67">
        <v>1</v>
      </c>
      <c r="I79" s="132"/>
      <c r="J79" s="124"/>
    </row>
    <row r="80" spans="1:10" ht="16.899999999999999" customHeight="1">
      <c r="A80" s="49">
        <v>78</v>
      </c>
      <c r="B80" s="75" t="s">
        <v>61</v>
      </c>
      <c r="C80" s="75" t="s">
        <v>100</v>
      </c>
      <c r="D80" s="51">
        <v>9000</v>
      </c>
      <c r="E80" s="79" t="s">
        <v>62</v>
      </c>
      <c r="F80" s="68">
        <v>29.7</v>
      </c>
      <c r="G80" s="69">
        <f t="shared" si="0"/>
        <v>32.67</v>
      </c>
      <c r="H80" s="67">
        <v>10</v>
      </c>
      <c r="I80" s="132"/>
      <c r="J80" s="124"/>
    </row>
    <row r="81" spans="1:10" ht="16.899999999999999" customHeight="1">
      <c r="A81" s="49">
        <v>79</v>
      </c>
      <c r="B81" s="75" t="s">
        <v>61</v>
      </c>
      <c r="C81" s="75" t="s">
        <v>164</v>
      </c>
      <c r="D81" s="51">
        <v>1500</v>
      </c>
      <c r="E81" s="79" t="s">
        <v>62</v>
      </c>
      <c r="F81" s="68">
        <v>4.95</v>
      </c>
      <c r="G81" s="69">
        <f t="shared" si="0"/>
        <v>5.4450000000000003</v>
      </c>
      <c r="H81" s="67">
        <v>10</v>
      </c>
      <c r="I81" s="132"/>
      <c r="J81" s="124"/>
    </row>
    <row r="82" spans="1:10" s="63" customFormat="1" ht="18" customHeight="1">
      <c r="A82" s="113" t="s">
        <v>106</v>
      </c>
      <c r="B82" s="114"/>
      <c r="C82" s="115"/>
      <c r="D82" s="52">
        <f>SUM(D3:D69)</f>
        <v>1568400</v>
      </c>
      <c r="E82" s="81" t="s">
        <v>31</v>
      </c>
      <c r="F82" s="127">
        <f>SUM(F3:F81)</f>
        <v>1976.31</v>
      </c>
      <c r="G82" s="127">
        <f>SUM(G3:G81)</f>
        <v>2173.9410000000007</v>
      </c>
      <c r="H82" s="125" t="s">
        <v>166</v>
      </c>
      <c r="I82" s="125"/>
      <c r="J82" s="129">
        <v>20.2</v>
      </c>
    </row>
    <row r="83" spans="1:10" s="63" customFormat="1" ht="16.899999999999999" customHeight="1">
      <c r="A83" s="116"/>
      <c r="B83" s="117"/>
      <c r="C83" s="118"/>
      <c r="D83" s="52">
        <f>SUM(D70:D81)</f>
        <v>110500</v>
      </c>
      <c r="E83" s="81" t="s">
        <v>63</v>
      </c>
      <c r="F83" s="128"/>
      <c r="G83" s="128"/>
      <c r="H83" s="126"/>
      <c r="I83" s="126"/>
      <c r="J83" s="130"/>
    </row>
    <row r="84" spans="1:10" ht="16.899999999999999" customHeight="1">
      <c r="A84" s="49">
        <v>82</v>
      </c>
      <c r="B84" s="75" t="s">
        <v>139</v>
      </c>
      <c r="C84" s="75" t="s">
        <v>140</v>
      </c>
      <c r="D84" s="51">
        <v>12000</v>
      </c>
      <c r="E84" s="79" t="s">
        <v>62</v>
      </c>
      <c r="F84" s="68">
        <v>108</v>
      </c>
      <c r="G84" s="69">
        <f t="shared" si="0"/>
        <v>118.80000000000001</v>
      </c>
      <c r="H84" s="67" t="s">
        <v>167</v>
      </c>
      <c r="I84" s="131" t="s">
        <v>173</v>
      </c>
      <c r="J84" s="123">
        <v>15.2</v>
      </c>
    </row>
    <row r="85" spans="1:10" ht="16.899999999999999" customHeight="1">
      <c r="A85" s="49">
        <v>83</v>
      </c>
      <c r="B85" s="75" t="s">
        <v>139</v>
      </c>
      <c r="C85" s="75" t="s">
        <v>141</v>
      </c>
      <c r="D85" s="51">
        <v>5000</v>
      </c>
      <c r="E85" s="79" t="s">
        <v>62</v>
      </c>
      <c r="F85" s="68">
        <v>35</v>
      </c>
      <c r="G85" s="69">
        <f t="shared" si="0"/>
        <v>38.5</v>
      </c>
      <c r="H85" s="67" t="s">
        <v>168</v>
      </c>
      <c r="I85" s="132"/>
      <c r="J85" s="124"/>
    </row>
    <row r="86" spans="1:10" ht="16.899999999999999" customHeight="1">
      <c r="A86" s="49">
        <v>84</v>
      </c>
      <c r="B86" s="75" t="s">
        <v>142</v>
      </c>
      <c r="C86" s="75" t="s">
        <v>143</v>
      </c>
      <c r="D86" s="51">
        <v>3000</v>
      </c>
      <c r="E86" s="79" t="s">
        <v>62</v>
      </c>
      <c r="F86" s="68">
        <v>30</v>
      </c>
      <c r="G86" s="69">
        <f t="shared" si="0"/>
        <v>33</v>
      </c>
      <c r="H86" s="67" t="s">
        <v>169</v>
      </c>
      <c r="I86" s="132"/>
      <c r="J86" s="124"/>
    </row>
    <row r="87" spans="1:10">
      <c r="A87" s="120" t="s">
        <v>32</v>
      </c>
      <c r="B87" s="121"/>
      <c r="C87" s="122"/>
      <c r="D87" s="52">
        <f>SUM(D84:D86)</f>
        <v>20000</v>
      </c>
      <c r="E87" s="50" t="s">
        <v>63</v>
      </c>
      <c r="F87" s="80">
        <f>SUM(F84:F86)</f>
        <v>173</v>
      </c>
      <c r="G87" s="80">
        <f>SUM(G84:G86)</f>
        <v>190.3</v>
      </c>
      <c r="H87" s="74" t="s">
        <v>170</v>
      </c>
      <c r="I87" s="74"/>
      <c r="J87" s="80">
        <v>15.2</v>
      </c>
    </row>
  </sheetData>
  <mergeCells count="11">
    <mergeCell ref="A87:C87"/>
    <mergeCell ref="J3:J81"/>
    <mergeCell ref="J84:J86"/>
    <mergeCell ref="H82:H83"/>
    <mergeCell ref="A82:C83"/>
    <mergeCell ref="F82:F83"/>
    <mergeCell ref="G82:G83"/>
    <mergeCell ref="J82:J83"/>
    <mergeCell ref="I3:I81"/>
    <mergeCell ref="I84:I86"/>
    <mergeCell ref="I82:I83"/>
  </mergeCells>
  <phoneticPr fontId="1" type="noConversion"/>
  <pageMargins left="0.7" right="0.7" top="0.75" bottom="0.75" header="0.3" footer="0.3"/>
  <pageSetup paperSize="9" scale="65" orientation="portrait" r:id="rId1"/>
  <ignoredErrors>
    <ignoredError sqref="A8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DJC20250829-261</vt:lpstr>
      <vt:lpstr>DETAILS</vt:lpstr>
      <vt:lpstr>PACKING LIST</vt:lpstr>
      <vt:lpstr>PACKING DETAIL</vt:lpstr>
      <vt:lpstr>'DJC20250829-261'!Print_Area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gu Kang</dc:creator>
  <cp:lastModifiedBy>PC</cp:lastModifiedBy>
  <cp:lastPrinted>2025-06-13T01:41:37Z</cp:lastPrinted>
  <dcterms:created xsi:type="dcterms:W3CDTF">2020-05-29T10:41:19Z</dcterms:created>
  <dcterms:modified xsi:type="dcterms:W3CDTF">2025-09-29T02:03:55Z</dcterms:modified>
</cp:coreProperties>
</file>