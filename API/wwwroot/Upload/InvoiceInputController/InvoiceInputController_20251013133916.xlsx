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"/>
    </mc:Choice>
  </mc:AlternateContent>
  <xr:revisionPtr revIDLastSave="0" documentId="13_ncr:1_{B584DDF5-0AC3-4EDD-BA76-04A0B70F5013}" xr6:coauthVersionLast="47" xr6:coauthVersionMax="47" xr10:uidLastSave="{00000000-0000-0000-0000-000000000000}"/>
  <bookViews>
    <workbookView xWindow="28680" yWindow="-120" windowWidth="29040" windowHeight="15840" xr2:uid="{E1ADB90E-50C6-4051-9385-0767DC3C27D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H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<sst xmlns="http://schemas.openxmlformats.org/spreadsheetml/2006/main" count="49" uniqueCount="22">
  <si>
    <t>PART NAME</t>
    <phoneticPr fontId="0" type="noConversion"/>
  </si>
  <si>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</si>
  <si>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</si>
  <si>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</si>
  <si>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</si>
  <si>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DESCRIPTION</t>
  </si>
  <si>
    <t>QUANTITY</t>
  </si>
  <si>
    <t>PRICE</t>
  </si>
  <si>
    <t>SNP</t>
  </si>
  <si>
    <t>ELECTRIC WIRE</t>
  </si>
  <si>
    <t>FLRYWB6B</t>
  </si>
  <si>
    <t>U100</t>
  </si>
  <si>
    <t>M</t>
  </si>
  <si>
    <t>FLRYWB05R</t>
  </si>
  <si>
    <t>FLRYWB05WY</t>
  </si>
  <si>
    <t>FLRYWB05V</t>
  </si>
  <si>
    <t>FLRYWB05GY</t>
  </si>
  <si>
    <t>FLRYWB05Br</t>
  </si>
  <si>
    <t>FLRYWB05YG</t>
  </si>
  <si>
    <t>FLRYWB05W</t>
  </si>
  <si>
    <t>FLRYWB05B</t>
  </si>
  <si>
    <t>FHLR2GCB2G-C70OR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</si>
</sst>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.000_ "/>
    <numFmt numFmtId="165" formatCode="_-* #,##0.000_-;\-* #,##0.000_-;_-* &quot;-&quot;???_-;_-@_-"/>
  </numFmts>
  <fonts count="8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family val="3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11"/>
      <color theme="1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4" fillId="0" borderId="0"/>
  </cellStyleXfs>
  <cellXfs count="25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49" fontId="5" fillId="2" borderId="1" xfId="2" applyNumberFormat="1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41" fontId="6" fillId="2" borderId="1" xfId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vertical="center"/>
    </xf>
    <xf numFmtId="165" fontId="6" fillId="2" borderId="1" xfId="1" applyNumberFormat="1" applyFont="1" applyFill="1" applyBorder="1" applyAlignment="1">
      <alignment vertical="center"/>
    </xf>
    <xf numFmtId="165" fontId="6" fillId="2" borderId="1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41" fontId="7" fillId="0" borderId="0" xfId="1" applyFont="1" applyBorder="1" applyAlignment="1">
      <alignment vertical="center"/>
    </xf>
    <xf numFmtId="1" fontId="7" fillId="0" borderId="3" xfId="0" applyNumberFormat="1" applyFont="1" applyBorder="1" applyAlignment="1">
      <alignment vertical="center"/>
    </xf>
    <xf numFmtId="41" fontId="7" fillId="0" borderId="0" xfId="0" applyNumberFormat="1" applyFont="1" applyAlignment="1">
      <alignment vertical="center"/>
    </xf>
    <xf numFmtId="41" fontId="7" fillId="0" borderId="0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3" borderId="2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/>
    <xf numFmtId="41" fontId="7" fillId="3" borderId="0" xfId="1" applyFont="1" applyFill="1" applyBorder="1" applyAlignment="1">
      <alignment vertical="center"/>
    </xf>
    <xf numFmtId="1" fontId="7" fillId="3" borderId="3" xfId="0" applyNumberFormat="1" applyFont="1" applyFill="1" applyBorder="1" applyAlignment="1">
      <alignment vertical="center"/>
    </xf>
    <xf numFmtId="0" fontId="7" fillId="4" borderId="0" xfId="0" applyFont="1" applyFill="1" applyAlignment="1">
      <alignment vertical="center"/>
    </xf>
  </cellXfs>
  <cellStyles count="3">
    <cellStyle name="Comma [0]" xfId="1" builtinId="6"/>
    <cellStyle name="Normal" xfId="0" builtinId="0"/>
    <cellStyle name="표준 2" xfId="2" xr:uid="{5AF2C715-0E76-49CF-97E4-870961158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Zalo%20Temp/TempDownloads/&#44592;&#50504;&#49436;_U100_11&#50900;_DJG2509-001_2025.09.18%20(DJ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8 (3)"/>
      <sheetName val="Nước rửa tay"/>
      <sheetName val="Sheet6"/>
      <sheetName val="Sheet5"/>
      <sheetName val="Sheet4 (3)"/>
      <sheetName val="기안서"/>
      <sheetName val="BOM"/>
      <sheetName val="BOM (2)"/>
      <sheetName val="DJC 발주"/>
      <sheetName val="사급자재 발주"/>
      <sheetName val="PO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F6" t="str">
            <v>S075-200-013A</v>
          </cell>
          <cell r="H6" t="str">
            <v>PBT GF30</v>
          </cell>
          <cell r="J6" t="str">
            <v>BLACK</v>
          </cell>
          <cell r="O6">
            <v>9.5000000000000001E-2</v>
          </cell>
          <cell r="P6">
            <v>100</v>
          </cell>
        </row>
        <row r="7">
          <cell r="F7" t="str">
            <v>EP5F103N4-KP13-R</v>
          </cell>
          <cell r="H7" t="str">
            <v>SUS304</v>
          </cell>
          <cell r="J7" t="str">
            <v>RED</v>
          </cell>
          <cell r="N7">
            <v>1500</v>
          </cell>
          <cell r="O7">
            <v>1.7999999999999999E-2</v>
          </cell>
          <cell r="P7">
            <v>500</v>
          </cell>
        </row>
        <row r="8">
          <cell r="F8" t="str">
            <v>EP5F103N4-KP13-L</v>
          </cell>
          <cell r="H8" t="str">
            <v>SUS304</v>
          </cell>
          <cell r="J8" t="str">
            <v>BLUE</v>
          </cell>
          <cell r="N8">
            <v>1500</v>
          </cell>
          <cell r="O8">
            <v>1.7999999999999999E-2</v>
          </cell>
          <cell r="P8">
            <v>500</v>
          </cell>
        </row>
        <row r="9">
          <cell r="F9" t="str">
            <v>5T40mm325mm</v>
          </cell>
          <cell r="H9" t="str">
            <v>PU FOAM SF-4CG</v>
          </cell>
          <cell r="J9" t="str">
            <v>GRAY</v>
          </cell>
          <cell r="N9">
            <v>325</v>
          </cell>
          <cell r="O9">
            <v>1E-4</v>
          </cell>
          <cell r="P9">
            <v>4000</v>
          </cell>
        </row>
        <row r="10">
          <cell r="F10" t="str">
            <v>FHLR91XC91X6O</v>
          </cell>
          <cell r="H10" t="str">
            <v>COPPER , Polyethylene</v>
          </cell>
          <cell r="J10" t="str">
            <v>ORANGE</v>
          </cell>
          <cell r="K10">
            <v>6</v>
          </cell>
          <cell r="O10">
            <v>0.20369999999999999</v>
          </cell>
          <cell r="P10">
            <v>1500</v>
          </cell>
        </row>
        <row r="11">
          <cell r="F11" t="str">
            <v>CT19MMX2.5MBK</v>
          </cell>
          <cell r="H11" t="str">
            <v>PET (Polyester) Cloth</v>
          </cell>
          <cell r="J11" t="str">
            <v>BLACK</v>
          </cell>
          <cell r="N11">
            <v>15000</v>
          </cell>
          <cell r="O11">
            <v>6.8999999999999999E-3</v>
          </cell>
          <cell r="P11">
            <v>15</v>
          </cell>
        </row>
        <row r="12">
          <cell r="F12" t="str">
            <v>FLRYWB05WY</v>
          </cell>
          <cell r="H12" t="str">
            <v>PVC , Cu</v>
          </cell>
          <cell r="J12" t="str">
            <v>WHITE/YELLOW</v>
          </cell>
          <cell r="K12">
            <v>0.5</v>
          </cell>
          <cell r="O12">
            <v>6.4000000000000003E-3</v>
          </cell>
          <cell r="P12">
            <v>1000</v>
          </cell>
        </row>
        <row r="13">
          <cell r="F13" t="str">
            <v>FLRYWB05GY</v>
          </cell>
          <cell r="H13" t="str">
            <v>PVC , Cu</v>
          </cell>
          <cell r="J13" t="str">
            <v>GREEN/YELLOW</v>
          </cell>
          <cell r="K13">
            <v>0.5</v>
          </cell>
          <cell r="O13">
            <v>6.4000000000000003E-3</v>
          </cell>
          <cell r="P13">
            <v>1000</v>
          </cell>
        </row>
        <row r="14">
          <cell r="F14" t="str">
            <v>FLRYWB05Br</v>
          </cell>
          <cell r="H14" t="str">
            <v>PVC , Cu</v>
          </cell>
          <cell r="J14" t="str">
            <v>BROWN</v>
          </cell>
          <cell r="K14">
            <v>0.5</v>
          </cell>
          <cell r="O14">
            <v>6.4000000000000003E-3</v>
          </cell>
          <cell r="P14">
            <v>1000</v>
          </cell>
        </row>
        <row r="15">
          <cell r="F15" t="str">
            <v>FLRYWB05B</v>
          </cell>
          <cell r="H15" t="str">
            <v>PVC , Cu</v>
          </cell>
          <cell r="J15" t="str">
            <v>BLACK</v>
          </cell>
          <cell r="K15">
            <v>0.5</v>
          </cell>
          <cell r="O15">
            <v>6.4000000000000003E-3</v>
          </cell>
          <cell r="P15">
            <v>1000</v>
          </cell>
        </row>
        <row r="16">
          <cell r="F16" t="str">
            <v>ST711022-3</v>
          </cell>
          <cell r="H16" t="str">
            <v>BRASS</v>
          </cell>
          <cell r="I16" t="str">
            <v>PRE-TIN</v>
          </cell>
          <cell r="J16" t="str">
            <v>SILVER</v>
          </cell>
          <cell r="K16" t="str">
            <v>5.0~8.0</v>
          </cell>
          <cell r="O16">
            <v>3.0000000000000001E-3</v>
          </cell>
          <cell r="P16">
            <v>1000</v>
          </cell>
        </row>
        <row r="17">
          <cell r="F17" t="str">
            <v>MG642581-5</v>
          </cell>
          <cell r="H17" t="str">
            <v>PBT</v>
          </cell>
          <cell r="J17" t="str">
            <v>BLACK</v>
          </cell>
          <cell r="O17">
            <v>8.0000000000000002E-3</v>
          </cell>
          <cell r="P17">
            <v>100</v>
          </cell>
        </row>
        <row r="18">
          <cell r="F18" t="str">
            <v>FLRYWB05V</v>
          </cell>
          <cell r="H18" t="str">
            <v>PVC , Cu</v>
          </cell>
          <cell r="J18" t="str">
            <v>VIOLET</v>
          </cell>
          <cell r="K18">
            <v>0.5</v>
          </cell>
          <cell r="O18">
            <v>6.4000000000000003E-3</v>
          </cell>
          <cell r="P18">
            <v>1000</v>
          </cell>
        </row>
        <row r="19">
          <cell r="F19" t="str">
            <v>FLRYWB05YG</v>
          </cell>
          <cell r="H19" t="str">
            <v>PVC , Cu</v>
          </cell>
          <cell r="J19" t="str">
            <v>YELLOW/GREEN</v>
          </cell>
          <cell r="K19">
            <v>0.5</v>
          </cell>
          <cell r="O19">
            <v>6.4000000000000003E-3</v>
          </cell>
          <cell r="P19">
            <v>1000</v>
          </cell>
        </row>
        <row r="20">
          <cell r="F20" t="str">
            <v>FHLR2GCB2G-C70OR</v>
          </cell>
          <cell r="H20" t="str">
            <v>COPPER , Polyethylene, slicon</v>
          </cell>
          <cell r="J20" t="str">
            <v>ORANGE</v>
          </cell>
          <cell r="K20">
            <v>70</v>
          </cell>
          <cell r="O20">
            <v>1.44</v>
          </cell>
          <cell r="P20">
            <v>300</v>
          </cell>
        </row>
        <row r="21">
          <cell r="F21" t="str">
            <v>AVSSSB05GW</v>
          </cell>
          <cell r="H21" t="str">
            <v>PVC , Cu</v>
          </cell>
          <cell r="J21" t="str">
            <v>GREEN/WHITE</v>
          </cell>
          <cell r="K21" t="str">
            <v>0.5 X 2</v>
          </cell>
          <cell r="O21">
            <v>1.2E-2</v>
          </cell>
          <cell r="P21">
            <v>300</v>
          </cell>
        </row>
        <row r="22">
          <cell r="F22" t="str">
            <v>AT19MMX2.5MOR</v>
          </cell>
          <cell r="H22" t="str">
            <v>PVC</v>
          </cell>
          <cell r="J22" t="str">
            <v>ORANGE</v>
          </cell>
          <cell r="N22">
            <v>20000</v>
          </cell>
          <cell r="O22">
            <v>6.8999999999999999E-3</v>
          </cell>
          <cell r="P22">
            <v>200</v>
          </cell>
        </row>
        <row r="23">
          <cell r="F23" t="str">
            <v>ST710965-3</v>
          </cell>
          <cell r="H23" t="str">
            <v xml:space="preserve">Brass 0.8t </v>
          </cell>
          <cell r="J23" t="str">
            <v>SILVER</v>
          </cell>
          <cell r="K23" t="str">
            <v>0.5~1.25</v>
          </cell>
          <cell r="O23">
            <v>2E-3</v>
          </cell>
          <cell r="P23">
            <v>1000</v>
          </cell>
        </row>
        <row r="24">
          <cell r="F24" t="str">
            <v>C19OR</v>
          </cell>
          <cell r="H24" t="str">
            <v>PA6</v>
          </cell>
          <cell r="J24" t="str">
            <v>ORANGE</v>
          </cell>
          <cell r="N24">
            <v>200000</v>
          </cell>
          <cell r="O24">
            <v>8.9999999999999993E-3</v>
          </cell>
          <cell r="P24">
            <v>200</v>
          </cell>
        </row>
        <row r="25">
          <cell r="F25" t="str">
            <v>SSA024050</v>
          </cell>
          <cell r="H25" t="str">
            <v>PA,PE</v>
          </cell>
          <cell r="I25" t="str">
            <v>REGIN</v>
          </cell>
          <cell r="J25" t="str">
            <v>BLACK</v>
          </cell>
          <cell r="O25">
            <v>4.0000000000000002E-4</v>
          </cell>
          <cell r="P25">
            <v>200</v>
          </cell>
        </row>
        <row r="26">
          <cell r="F26" t="str">
            <v>FLRYWB05R</v>
          </cell>
          <cell r="H26" t="str">
            <v>PVC , Cu</v>
          </cell>
          <cell r="J26" t="str">
            <v>RED</v>
          </cell>
          <cell r="K26">
            <v>0.5</v>
          </cell>
          <cell r="O26">
            <v>6.4000000000000003E-3</v>
          </cell>
          <cell r="P26">
            <v>1000</v>
          </cell>
        </row>
        <row r="27">
          <cell r="F27" t="str">
            <v>963902-1</v>
          </cell>
          <cell r="H27" t="str">
            <v>CuSn4</v>
          </cell>
          <cell r="I27" t="str">
            <v>TIN</v>
          </cell>
          <cell r="J27" t="str">
            <v>SILVER</v>
          </cell>
          <cell r="K27" t="str">
            <v>0.2~0.5</v>
          </cell>
          <cell r="O27">
            <v>3.8999999999999999E-4</v>
          </cell>
          <cell r="P27">
            <v>10000</v>
          </cell>
        </row>
        <row r="28">
          <cell r="F28" t="str">
            <v>1-2304514-1</v>
          </cell>
          <cell r="H28" t="str">
            <v>PBT-GF30</v>
          </cell>
          <cell r="J28" t="str">
            <v>BLACK</v>
          </cell>
          <cell r="K28" t="str">
            <v>0.5~0.75</v>
          </cell>
          <cell r="M28">
            <v>2</v>
          </cell>
          <cell r="O28">
            <v>3.0000000000000001E-3</v>
          </cell>
          <cell r="P28">
            <v>1500</v>
          </cell>
        </row>
        <row r="29">
          <cell r="F29" t="str">
            <v>2138898-1</v>
          </cell>
          <cell r="H29" t="str">
            <v>VAMAC</v>
          </cell>
          <cell r="J29" t="str">
            <v>BLACK</v>
          </cell>
          <cell r="K29">
            <v>0.5</v>
          </cell>
          <cell r="O29">
            <v>2.0000000000000001E-4</v>
          </cell>
          <cell r="P29">
            <v>1000</v>
          </cell>
        </row>
        <row r="30">
          <cell r="F30" t="str">
            <v>1897013-2</v>
          </cell>
          <cell r="H30" t="str">
            <v>PA66-GF30</v>
          </cell>
          <cell r="J30" t="str">
            <v>BLACK</v>
          </cell>
          <cell r="K30" t="str">
            <v>0.5~1.0</v>
          </cell>
          <cell r="M30">
            <v>26</v>
          </cell>
          <cell r="O30">
            <v>1.7999999999999999E-2</v>
          </cell>
          <cell r="P30">
            <v>80</v>
          </cell>
        </row>
        <row r="31">
          <cell r="F31" t="str">
            <v>S075-003-188-B</v>
          </cell>
          <cell r="H31" t="str">
            <v>NBR 70 shore A</v>
          </cell>
          <cell r="J31" t="str">
            <v>RED</v>
          </cell>
          <cell r="O31">
            <v>5.0000000000000001E-4</v>
          </cell>
          <cell r="P31">
            <v>1000</v>
          </cell>
        </row>
        <row r="32">
          <cell r="F32" t="str">
            <v>111-01747</v>
          </cell>
          <cell r="H32" t="str">
            <v>PA66</v>
          </cell>
          <cell r="J32" t="str">
            <v>ORANGE</v>
          </cell>
          <cell r="N32">
            <v>300</v>
          </cell>
          <cell r="O32">
            <v>2E-3</v>
          </cell>
          <cell r="P32">
            <v>100</v>
          </cell>
        </row>
        <row r="33">
          <cell r="F33">
            <v>603841</v>
          </cell>
          <cell r="H33" t="str">
            <v>SUS304,PA66</v>
          </cell>
          <cell r="J33" t="str">
            <v>BLACK</v>
          </cell>
          <cell r="O33">
            <v>7.3999999999999996E-2</v>
          </cell>
          <cell r="P33">
            <v>200</v>
          </cell>
        </row>
        <row r="34">
          <cell r="F34" t="str">
            <v>ST730623-3</v>
          </cell>
          <cell r="H34" t="str">
            <v>COPPER ALLOY</v>
          </cell>
          <cell r="I34" t="str">
            <v>Cu</v>
          </cell>
          <cell r="J34" t="str">
            <v>SILVER</v>
          </cell>
          <cell r="K34">
            <v>0.5</v>
          </cell>
          <cell r="O34">
            <v>3.8999999999999999E-4</v>
          </cell>
          <cell r="P34">
            <v>3600</v>
          </cell>
        </row>
        <row r="35">
          <cell r="F35" t="str">
            <v>828904-1</v>
          </cell>
          <cell r="H35" t="str">
            <v>Silicon 50 shore a</v>
          </cell>
          <cell r="J35" t="str">
            <v>BLUE</v>
          </cell>
          <cell r="K35" t="str">
            <v>1.2~2.1</v>
          </cell>
          <cell r="O35">
            <v>2.0000000000000001E-4</v>
          </cell>
          <cell r="P35">
            <v>5000</v>
          </cell>
        </row>
        <row r="36">
          <cell r="F36" t="str">
            <v>CL6405-0015-2</v>
          </cell>
          <cell r="H36" t="str">
            <v>COPPER ALLOY</v>
          </cell>
          <cell r="I36" t="str">
            <v>TIN</v>
          </cell>
          <cell r="J36" t="str">
            <v>SILVER</v>
          </cell>
          <cell r="K36" t="str">
            <v>0.3~0.5</v>
          </cell>
          <cell r="O36">
            <v>5.0000000000000001E-4</v>
          </cell>
          <cell r="P36">
            <v>3600</v>
          </cell>
        </row>
        <row r="37">
          <cell r="F37" t="str">
            <v>MG652582-5</v>
          </cell>
          <cell r="H37" t="str">
            <v>PBT</v>
          </cell>
          <cell r="J37" t="str">
            <v>BLACK</v>
          </cell>
          <cell r="M37">
            <v>6</v>
          </cell>
          <cell r="O37">
            <v>5.0000000000000001E-3</v>
          </cell>
          <cell r="P37">
            <v>500</v>
          </cell>
        </row>
        <row r="38">
          <cell r="F38" t="str">
            <v>CL6426-0060-8</v>
          </cell>
          <cell r="H38" t="str">
            <v xml:space="preserve">silicon </v>
          </cell>
          <cell r="J38" t="str">
            <v>BLUE</v>
          </cell>
          <cell r="O38">
            <v>5.0000000000000001E-4</v>
          </cell>
          <cell r="P38">
            <v>1000</v>
          </cell>
        </row>
        <row r="39">
          <cell r="F39" t="str">
            <v>FLRYWB6B</v>
          </cell>
          <cell r="H39" t="str">
            <v>PVC , Cu</v>
          </cell>
          <cell r="J39" t="str">
            <v>BLACK</v>
          </cell>
          <cell r="K39">
            <v>6</v>
          </cell>
          <cell r="O39">
            <v>0.02</v>
          </cell>
          <cell r="P39">
            <v>300</v>
          </cell>
        </row>
        <row r="40">
          <cell r="F40">
            <v>603840</v>
          </cell>
          <cell r="H40" t="str">
            <v>SUS304,PA66</v>
          </cell>
          <cell r="J40" t="str">
            <v>BLACK</v>
          </cell>
          <cell r="O40">
            <v>7.1999999999999995E-2</v>
          </cell>
          <cell r="P40">
            <v>200</v>
          </cell>
        </row>
        <row r="41">
          <cell r="F41" t="str">
            <v>S075-200-011A</v>
          </cell>
          <cell r="H41" t="str">
            <v>PBT GF30</v>
          </cell>
          <cell r="J41" t="str">
            <v>BLACK</v>
          </cell>
          <cell r="O41">
            <v>9.5000000000000001E-2</v>
          </cell>
          <cell r="P41">
            <v>100</v>
          </cell>
        </row>
        <row r="42">
          <cell r="F42" t="str">
            <v>1-962915-1</v>
          </cell>
          <cell r="H42" t="str">
            <v>CuSn4</v>
          </cell>
          <cell r="I42" t="str">
            <v>PRE-TIN</v>
          </cell>
          <cell r="J42" t="str">
            <v>SILVER</v>
          </cell>
          <cell r="K42" t="str">
            <v>0.5~1.0</v>
          </cell>
          <cell r="O42">
            <v>2.0000000000000001E-4</v>
          </cell>
          <cell r="P42">
            <v>3500</v>
          </cell>
        </row>
        <row r="43">
          <cell r="F43" t="str">
            <v>CL6405-0009-0</v>
          </cell>
          <cell r="H43" t="str">
            <v>Polyketon</v>
          </cell>
          <cell r="J43" t="str">
            <v>BLACK</v>
          </cell>
          <cell r="K43">
            <v>0.5</v>
          </cell>
          <cell r="M43">
            <v>8</v>
          </cell>
          <cell r="O43">
            <v>5.0000000000000001E-4</v>
          </cell>
          <cell r="P43">
            <v>100</v>
          </cell>
        </row>
        <row r="44">
          <cell r="F44" t="str">
            <v>MG645870-5</v>
          </cell>
          <cell r="H44" t="str">
            <v>PBT-GF15</v>
          </cell>
          <cell r="J44" t="str">
            <v>BLACK</v>
          </cell>
          <cell r="M44">
            <v>2</v>
          </cell>
          <cell r="O44">
            <v>7.0000000000000001E-3</v>
          </cell>
          <cell r="P44">
            <v>250</v>
          </cell>
        </row>
        <row r="45">
          <cell r="F45" t="str">
            <v>CSPAD30MMX1.5M</v>
          </cell>
          <cell r="H45" t="str">
            <v>PET</v>
          </cell>
          <cell r="J45" t="str">
            <v>BLACK</v>
          </cell>
          <cell r="O45">
            <v>1E-4</v>
          </cell>
          <cell r="P45">
            <v>20000</v>
          </cell>
        </row>
        <row r="46">
          <cell r="F46" t="str">
            <v>C12OR</v>
          </cell>
          <cell r="H46" t="str">
            <v>PA6</v>
          </cell>
          <cell r="J46" t="str">
            <v>ORANGE</v>
          </cell>
          <cell r="N46">
            <v>500000</v>
          </cell>
          <cell r="O46">
            <v>7.0000000000000001E-3</v>
          </cell>
          <cell r="P46">
            <v>500</v>
          </cell>
        </row>
        <row r="47">
          <cell r="F47" t="str">
            <v>FLRYA05G</v>
          </cell>
          <cell r="H47" t="str">
            <v>PVC , Cu</v>
          </cell>
          <cell r="J47" t="str">
            <v>GREEN</v>
          </cell>
          <cell r="K47">
            <v>0.5</v>
          </cell>
          <cell r="O47">
            <v>6.4000000000000003E-3</v>
          </cell>
          <cell r="P47">
            <v>1000</v>
          </cell>
        </row>
        <row r="48">
          <cell r="F48" t="str">
            <v>ST710966-3</v>
          </cell>
          <cell r="H48" t="str">
            <v xml:space="preserve">Brass 0.8t </v>
          </cell>
          <cell r="J48" t="str">
            <v>SILVER</v>
          </cell>
          <cell r="K48" t="str">
            <v>0.5~1.25</v>
          </cell>
          <cell r="O48">
            <v>2.0000000000000001E-4</v>
          </cell>
          <cell r="P48">
            <v>1000</v>
          </cell>
        </row>
        <row r="49">
          <cell r="F49" t="str">
            <v>FLRYWB05W</v>
          </cell>
          <cell r="H49" t="str">
            <v>PVC , Cu</v>
          </cell>
          <cell r="J49" t="str">
            <v>WHITE</v>
          </cell>
          <cell r="K49">
            <v>0.5</v>
          </cell>
          <cell r="O49">
            <v>6.4000000000000003E-3</v>
          </cell>
          <cell r="P49">
            <v>1000</v>
          </cell>
        </row>
        <row r="50">
          <cell r="F50" t="str">
            <v>MG655817-5</v>
          </cell>
          <cell r="H50" t="str">
            <v>PBT</v>
          </cell>
          <cell r="J50" t="str">
            <v>BLACK</v>
          </cell>
          <cell r="M50">
            <v>2</v>
          </cell>
          <cell r="O50">
            <v>6.0000000000000001E-3</v>
          </cell>
          <cell r="P50">
            <v>250</v>
          </cell>
        </row>
        <row r="51">
          <cell r="F51" t="str">
            <v>1670146-1</v>
          </cell>
          <cell r="H51" t="str">
            <v>CuSn0.15 / CuNI3SI</v>
          </cell>
          <cell r="J51" t="str">
            <v>SILVER</v>
          </cell>
          <cell r="K51" t="str">
            <v>0.5~0.75</v>
          </cell>
          <cell r="O51">
            <v>1.8000000000000001E-4</v>
          </cell>
          <cell r="P51">
            <v>6500</v>
          </cell>
        </row>
        <row r="52">
          <cell r="F52" t="str">
            <v>ST760320-1</v>
          </cell>
          <cell r="H52" t="str">
            <v xml:space="preserve">Brass 0.5t </v>
          </cell>
          <cell r="I52" t="str">
            <v>TIN</v>
          </cell>
          <cell r="J52" t="str">
            <v>GOLD</v>
          </cell>
          <cell r="K52" t="str">
            <v>0.5~1.25</v>
          </cell>
          <cell r="O52">
            <v>2.0000000000000001E-4</v>
          </cell>
          <cell r="P52">
            <v>12500</v>
          </cell>
        </row>
        <row r="53">
          <cell r="F53" t="str">
            <v>964971-1</v>
          </cell>
          <cell r="H53" t="str">
            <v>Silicon 50 shore a</v>
          </cell>
          <cell r="J53" t="str">
            <v>RED</v>
          </cell>
          <cell r="K53" t="str">
            <v>0.35~0.5</v>
          </cell>
          <cell r="O53">
            <v>2.0000000000000001E-4</v>
          </cell>
          <cell r="P53">
            <v>10000</v>
          </cell>
        </row>
        <row r="54">
          <cell r="F54" t="str">
            <v>ST731368-3</v>
          </cell>
          <cell r="H54" t="str">
            <v>COPPER ALLOY</v>
          </cell>
          <cell r="I54" t="str">
            <v>PRE-TIN</v>
          </cell>
          <cell r="J54" t="str">
            <v>SILVER</v>
          </cell>
          <cell r="K54" t="str">
            <v>0.3~0.5</v>
          </cell>
          <cell r="O54">
            <v>5.0000000000000001E-4</v>
          </cell>
          <cell r="P54">
            <v>3000</v>
          </cell>
        </row>
        <row r="55">
          <cell r="F55" t="str">
            <v>MG681114</v>
          </cell>
          <cell r="H55" t="str">
            <v>silicon</v>
          </cell>
          <cell r="J55" t="str">
            <v>BLUE</v>
          </cell>
          <cell r="K55" t="str">
            <v>0.5~1.8</v>
          </cell>
          <cell r="O55">
            <v>5.0000000000000001E-4</v>
          </cell>
          <cell r="P55">
            <v>1000</v>
          </cell>
        </row>
        <row r="56">
          <cell r="F56" t="str">
            <v>SSA009050</v>
          </cell>
          <cell r="H56" t="str">
            <v>PA,PE</v>
          </cell>
          <cell r="I56" t="str">
            <v>REGIN</v>
          </cell>
          <cell r="J56" t="str">
            <v>BLACK</v>
          </cell>
          <cell r="L56">
            <v>9</v>
          </cell>
          <cell r="N56">
            <v>50</v>
          </cell>
          <cell r="O56">
            <v>2.0000000000000001E-4</v>
          </cell>
          <cell r="P56">
            <v>1000</v>
          </cell>
        </row>
        <row r="57">
          <cell r="F57" t="str">
            <v>SSA009030</v>
          </cell>
          <cell r="H57" t="str">
            <v>PA,PE</v>
          </cell>
          <cell r="I57" t="str">
            <v>REGIN</v>
          </cell>
          <cell r="J57" t="str">
            <v>BLACK</v>
          </cell>
          <cell r="L57">
            <v>9</v>
          </cell>
          <cell r="N57">
            <v>30</v>
          </cell>
          <cell r="O57">
            <v>2.0000000000000001E-4</v>
          </cell>
          <cell r="P57">
            <v>1000</v>
          </cell>
        </row>
        <row r="58">
          <cell r="F58" t="str">
            <v>963531-1</v>
          </cell>
          <cell r="H58" t="str">
            <v>Silicon 50 shore a</v>
          </cell>
          <cell r="J58" t="str">
            <v>WHITE</v>
          </cell>
          <cell r="L58">
            <v>3.6</v>
          </cell>
          <cell r="O58">
            <v>2.0000000000000001E-4</v>
          </cell>
          <cell r="P58">
            <v>10000</v>
          </cell>
        </row>
        <row r="59">
          <cell r="F59" t="str">
            <v>828922-1</v>
          </cell>
          <cell r="H59" t="str">
            <v>Silicon 50 MVQ 50</v>
          </cell>
          <cell r="J59" t="str">
            <v>NATURAL</v>
          </cell>
          <cell r="L59">
            <v>5.4</v>
          </cell>
          <cell r="O59">
            <v>2.0000000000000001E-4</v>
          </cell>
          <cell r="P59">
            <v>5000</v>
          </cell>
        </row>
        <row r="60">
          <cell r="F60" t="str">
            <v>SSA006030</v>
          </cell>
          <cell r="H60" t="str">
            <v>PA,PE</v>
          </cell>
          <cell r="I60" t="str">
            <v>REGIN</v>
          </cell>
          <cell r="J60" t="str">
            <v>BLACK</v>
          </cell>
          <cell r="L60">
            <v>6</v>
          </cell>
          <cell r="N60">
            <v>30</v>
          </cell>
          <cell r="O60">
            <v>2.0000000000000001E-4</v>
          </cell>
          <cell r="P60">
            <v>2000</v>
          </cell>
        </row>
        <row r="61">
          <cell r="F61" t="str">
            <v>CL6405-0010-9</v>
          </cell>
          <cell r="H61" t="str">
            <v>Polyketon</v>
          </cell>
          <cell r="J61" t="str">
            <v>GRAY</v>
          </cell>
          <cell r="K61">
            <v>0.5</v>
          </cell>
          <cell r="O61">
            <v>5.0000000000000001E-4</v>
          </cell>
          <cell r="P61">
            <v>1000</v>
          </cell>
        </row>
        <row r="62">
          <cell r="F62" t="str">
            <v>CL6426-0062-3</v>
          </cell>
          <cell r="H62" t="str">
            <v xml:space="preserve">silicon </v>
          </cell>
          <cell r="J62" t="str">
            <v>BLACK</v>
          </cell>
          <cell r="K62">
            <v>0.5</v>
          </cell>
          <cell r="O62">
            <v>5.0000000000000001E-4</v>
          </cell>
          <cell r="P62">
            <v>1000</v>
          </cell>
        </row>
        <row r="63">
          <cell r="F63" t="str">
            <v>MG681159</v>
          </cell>
          <cell r="H63" t="str">
            <v>silicon</v>
          </cell>
          <cell r="J63" t="str">
            <v>BROWN</v>
          </cell>
          <cell r="O63">
            <v>2.0000000000000001E-4</v>
          </cell>
          <cell r="P63">
            <v>1000</v>
          </cell>
        </row>
        <row r="64">
          <cell r="F64" t="str">
            <v>MG632589-3</v>
          </cell>
          <cell r="H64" t="str">
            <v>PBT</v>
          </cell>
          <cell r="J64" t="str">
            <v>YELLOW</v>
          </cell>
          <cell r="O64">
            <v>1E-4</v>
          </cell>
          <cell r="P64">
            <v>500</v>
          </cell>
        </row>
        <row r="65">
          <cell r="F65" t="str">
            <v>GB110-06020</v>
          </cell>
          <cell r="H65" t="str">
            <v>PA</v>
          </cell>
          <cell r="J65" t="str">
            <v>BLACK</v>
          </cell>
          <cell r="N65">
            <v>143.80000000000001</v>
          </cell>
          <cell r="O65">
            <v>2E-3</v>
          </cell>
          <cell r="P65">
            <v>400</v>
          </cell>
        </row>
        <row r="66">
          <cell r="F66" t="str">
            <v>MG685390</v>
          </cell>
          <cell r="H66" t="str">
            <v>SLICON</v>
          </cell>
          <cell r="J66" t="str">
            <v>BROWN</v>
          </cell>
          <cell r="K66" t="str">
            <v>0.3~0.5</v>
          </cell>
          <cell r="L66" t="str">
            <v>1.4~1.6</v>
          </cell>
          <cell r="O66">
            <v>2.0000000000000001E-4</v>
          </cell>
          <cell r="P66">
            <v>1000</v>
          </cell>
        </row>
        <row r="67">
          <cell r="F67" t="str">
            <v>ST760149-1</v>
          </cell>
          <cell r="H67" t="str">
            <v>BRASS</v>
          </cell>
          <cell r="J67" t="str">
            <v>GOLD</v>
          </cell>
          <cell r="K67" t="str">
            <v>1.5~2.5</v>
          </cell>
          <cell r="O67">
            <v>2.0000000000000001E-4</v>
          </cell>
          <cell r="P67">
            <v>10000</v>
          </cell>
        </row>
        <row r="68">
          <cell r="F68" t="str">
            <v>AT19MMX2.5MBK</v>
          </cell>
          <cell r="H68" t="str">
            <v>Polyvinyl Chloride</v>
          </cell>
          <cell r="J68" t="str">
            <v>BLACK</v>
          </cell>
          <cell r="N68">
            <v>20000</v>
          </cell>
          <cell r="O68">
            <v>6.8999999999999999E-3</v>
          </cell>
          <cell r="P68">
            <v>100</v>
          </cell>
        </row>
        <row r="69">
          <cell r="F69" t="str">
            <v>CT19MMX2.5MOR</v>
          </cell>
          <cell r="H69" t="str">
            <v>PET (Polyester) Cloth</v>
          </cell>
          <cell r="J69" t="str">
            <v>ORANGE</v>
          </cell>
          <cell r="N69">
            <v>15000</v>
          </cell>
          <cell r="O69">
            <v>6.8999999999999999E-3</v>
          </cell>
          <cell r="P69">
            <v>15</v>
          </cell>
        </row>
        <row r="70">
          <cell r="F70" t="str">
            <v>HSG018030</v>
          </cell>
          <cell r="H70" t="str">
            <v>PA,PE</v>
          </cell>
          <cell r="J70" t="str">
            <v>BLACK</v>
          </cell>
          <cell r="L70">
            <v>18</v>
          </cell>
          <cell r="N70">
            <v>30</v>
          </cell>
          <cell r="O70">
            <v>4.0000000000000002E-4</v>
          </cell>
          <cell r="P70">
            <v>2000</v>
          </cell>
        </row>
        <row r="71">
          <cell r="F71" t="str">
            <v>111-85871</v>
          </cell>
          <cell r="H71" t="str">
            <v>PA66</v>
          </cell>
          <cell r="J71" t="str">
            <v>BLACK</v>
          </cell>
          <cell r="O71">
            <v>2E-3</v>
          </cell>
          <cell r="P71">
            <v>500</v>
          </cell>
        </row>
        <row r="72">
          <cell r="F72" t="str">
            <v>EVH2D3-N2TK-TDGA-01</v>
          </cell>
          <cell r="H72" t="str">
            <v>PA66-GF25</v>
          </cell>
          <cell r="J72" t="str">
            <v>ORANGE</v>
          </cell>
          <cell r="K72">
            <v>6</v>
          </cell>
          <cell r="M72">
            <v>2</v>
          </cell>
          <cell r="O72">
            <v>5.1150000000000001E-2</v>
          </cell>
          <cell r="P72">
            <v>32</v>
          </cell>
        </row>
        <row r="73">
          <cell r="F73" t="str">
            <v>657119446-01</v>
          </cell>
          <cell r="H73" t="str">
            <v>Copper alloy</v>
          </cell>
          <cell r="J73" t="str">
            <v>SILVER</v>
          </cell>
          <cell r="K73">
            <v>6</v>
          </cell>
          <cell r="O73">
            <v>1.1999999999999999E-3</v>
          </cell>
          <cell r="P73">
            <v>1500</v>
          </cell>
        </row>
        <row r="74">
          <cell r="F74" t="str">
            <v>HVMC2P12FV170</v>
          </cell>
          <cell r="H74" t="str">
            <v>ALLOY,PA</v>
          </cell>
          <cell r="J74" t="str">
            <v>SILVER</v>
          </cell>
          <cell r="K74">
            <v>70</v>
          </cell>
          <cell r="M74">
            <v>2</v>
          </cell>
          <cell r="O74">
            <v>0.27860000000000001</v>
          </cell>
          <cell r="P74">
            <v>32</v>
          </cell>
        </row>
        <row r="75">
          <cell r="F75" t="str">
            <v>21E6-571-14354-B1</v>
          </cell>
          <cell r="H75" t="str">
            <v>Copper alloy</v>
          </cell>
          <cell r="J75" t="str">
            <v>SILVER</v>
          </cell>
          <cell r="K75">
            <v>6</v>
          </cell>
          <cell r="O75">
            <v>1E-3</v>
          </cell>
          <cell r="P75">
            <v>1500</v>
          </cell>
        </row>
        <row r="76">
          <cell r="F76" t="str">
            <v>EVH2-N4TK-TDA-01</v>
          </cell>
          <cell r="H76" t="str">
            <v>PA66-GF25</v>
          </cell>
          <cell r="J76" t="str">
            <v>ORANGE</v>
          </cell>
          <cell r="K76">
            <v>6</v>
          </cell>
          <cell r="M76">
            <v>4</v>
          </cell>
          <cell r="O76">
            <v>7.7600000000000002E-2</v>
          </cell>
          <cell r="P76">
            <v>28</v>
          </cell>
        </row>
        <row r="77">
          <cell r="F77" t="str">
            <v>HVMC2P12FV-22</v>
          </cell>
          <cell r="H77" t="str">
            <v>T2</v>
          </cell>
          <cell r="I77" t="str">
            <v>Sn</v>
          </cell>
          <cell r="J77" t="str">
            <v>SILVER</v>
          </cell>
          <cell r="K77">
            <v>70</v>
          </cell>
          <cell r="N77">
            <v>50</v>
          </cell>
          <cell r="O77">
            <v>3.7499999999999999E-2</v>
          </cell>
          <cell r="P77">
            <v>100</v>
          </cell>
        </row>
        <row r="78">
          <cell r="F78" t="str">
            <v>P47-1B220</v>
          </cell>
          <cell r="H78" t="str">
            <v>C1100</v>
          </cell>
          <cell r="J78" t="str">
            <v>SILVER</v>
          </cell>
          <cell r="O78">
            <v>1.35E-2</v>
          </cell>
        </row>
        <row r="79">
          <cell r="F79" t="str">
            <v>P47-1B230</v>
          </cell>
          <cell r="H79" t="str">
            <v>C1100</v>
          </cell>
          <cell r="J79" t="str">
            <v>SILVER</v>
          </cell>
          <cell r="O79">
            <v>1.4500000000000001E-2</v>
          </cell>
        </row>
        <row r="80">
          <cell r="F80" t="str">
            <v>P47-15240</v>
          </cell>
          <cell r="H80" t="str">
            <v>SLICON</v>
          </cell>
          <cell r="J80" t="str">
            <v>PURPLE</v>
          </cell>
          <cell r="O80">
            <v>1.1000000000000001E-3</v>
          </cell>
        </row>
        <row r="81">
          <cell r="F81" t="str">
            <v>P46-15200</v>
          </cell>
          <cell r="H81" t="str">
            <v>SLICON</v>
          </cell>
          <cell r="J81" t="str">
            <v>PURPLE</v>
          </cell>
          <cell r="O81">
            <v>2.9999999999999997E-4</v>
          </cell>
        </row>
        <row r="82">
          <cell r="F82" t="str">
            <v>P46-19380</v>
          </cell>
          <cell r="H82" t="str">
            <v>SWCH10A</v>
          </cell>
          <cell r="J82" t="str">
            <v>SILVER</v>
          </cell>
          <cell r="O82">
            <v>6.7599999999999995E-3</v>
          </cell>
        </row>
        <row r="83">
          <cell r="F83" t="str">
            <v>P46-15250</v>
          </cell>
          <cell r="H83" t="str">
            <v>SLICON</v>
          </cell>
          <cell r="J83" t="str">
            <v>BLUE</v>
          </cell>
          <cell r="O83">
            <v>1.8E-3</v>
          </cell>
        </row>
        <row r="84">
          <cell r="F84" t="str">
            <v>P46-12410</v>
          </cell>
          <cell r="H84" t="str">
            <v>PBT-GF30</v>
          </cell>
          <cell r="J84" t="str">
            <v>BLACK</v>
          </cell>
          <cell r="O84">
            <v>3.3E-3</v>
          </cell>
        </row>
        <row r="85">
          <cell r="F85" t="str">
            <v>P46-12330</v>
          </cell>
          <cell r="H85" t="str">
            <v>PBT-GF30</v>
          </cell>
          <cell r="J85" t="str">
            <v>BLACK</v>
          </cell>
          <cell r="O85">
            <v>9.5200000000000007E-2</v>
          </cell>
        </row>
        <row r="86">
          <cell r="F86" t="str">
            <v>P46-15270</v>
          </cell>
          <cell r="H86" t="str">
            <v>SLICON</v>
          </cell>
          <cell r="J86" t="str">
            <v>BLUE</v>
          </cell>
          <cell r="O86">
            <v>3.5999999999999999E-3</v>
          </cell>
        </row>
        <row r="87">
          <cell r="F87" t="str">
            <v>P46-12480</v>
          </cell>
          <cell r="H87" t="str">
            <v>PBT-GF30</v>
          </cell>
          <cell r="J87" t="str">
            <v>BLACK</v>
          </cell>
          <cell r="O87">
            <v>6.4999999999999997E-3</v>
          </cell>
        </row>
        <row r="88">
          <cell r="F88" t="str">
            <v>P46-12490</v>
          </cell>
          <cell r="H88" t="str">
            <v>PBT-GF30</v>
          </cell>
          <cell r="J88" t="str">
            <v>BLACK</v>
          </cell>
          <cell r="O88">
            <v>6.4999999999999997E-3</v>
          </cell>
        </row>
        <row r="89">
          <cell r="F89" t="str">
            <v>P48-12100</v>
          </cell>
          <cell r="H89" t="str">
            <v>PA6+PA66+PE</v>
          </cell>
          <cell r="J89" t="str">
            <v>ORANGE</v>
          </cell>
          <cell r="O89">
            <v>0.13489999999999999</v>
          </cell>
        </row>
        <row r="90">
          <cell r="F90" t="str">
            <v>P48-12400</v>
          </cell>
          <cell r="H90" t="str">
            <v>PA6+PA66+PE</v>
          </cell>
          <cell r="J90" t="str">
            <v>ORANGE</v>
          </cell>
          <cell r="O90">
            <v>4.3299999999999998E-2</v>
          </cell>
        </row>
        <row r="91">
          <cell r="F91" t="str">
            <v>P47-12430</v>
          </cell>
          <cell r="H91" t="str">
            <v>PBT-GF30</v>
          </cell>
          <cell r="J91" t="str">
            <v>BLACK</v>
          </cell>
          <cell r="O91">
            <v>1E-4</v>
          </cell>
        </row>
        <row r="92">
          <cell r="F92" t="str">
            <v>P47-1B200</v>
          </cell>
          <cell r="H92" t="str">
            <v>C1100</v>
          </cell>
          <cell r="J92" t="str">
            <v>SILVER</v>
          </cell>
          <cell r="O92">
            <v>4.5999999999999999E-3</v>
          </cell>
        </row>
        <row r="93">
          <cell r="F93" t="str">
            <v>P47-1B210</v>
          </cell>
          <cell r="H93" t="str">
            <v>C1100</v>
          </cell>
          <cell r="J93" t="str">
            <v>SILVER</v>
          </cell>
          <cell r="O93">
            <v>3.8E-3</v>
          </cell>
        </row>
        <row r="94">
          <cell r="F94" t="str">
            <v>P47-1B240</v>
          </cell>
          <cell r="H94" t="str">
            <v>C1100</v>
          </cell>
          <cell r="J94" t="str">
            <v>SILVER</v>
          </cell>
          <cell r="O94">
            <v>4.8500000000000001E-2</v>
          </cell>
        </row>
        <row r="95">
          <cell r="F95" t="str">
            <v>P47-1B250</v>
          </cell>
          <cell r="H95" t="str">
            <v>C1100</v>
          </cell>
          <cell r="J95" t="str">
            <v>SILVER</v>
          </cell>
          <cell r="O95">
            <v>8.3500000000000005E-2</v>
          </cell>
        </row>
        <row r="96">
          <cell r="F96" t="str">
            <v>P46-1B200</v>
          </cell>
          <cell r="H96" t="str">
            <v>C1100</v>
          </cell>
          <cell r="J96" t="str">
            <v>SILVER</v>
          </cell>
          <cell r="O96">
            <v>9.4999999999999998E-3</v>
          </cell>
        </row>
        <row r="97">
          <cell r="F97" t="str">
            <v>P46-12430</v>
          </cell>
          <cell r="H97" t="str">
            <v>PBT-GF30</v>
          </cell>
          <cell r="J97" t="str">
            <v>BLACK</v>
          </cell>
          <cell r="O97">
            <v>2.0000000000000002E-5</v>
          </cell>
        </row>
        <row r="98">
          <cell r="F98" t="str">
            <v>P46-1B210</v>
          </cell>
          <cell r="H98" t="str">
            <v>C1100</v>
          </cell>
          <cell r="J98" t="str">
            <v>SILVER</v>
          </cell>
          <cell r="O98">
            <v>4.2000000000000006E-3</v>
          </cell>
        </row>
        <row r="99">
          <cell r="F99" t="str">
            <v>P46-12440</v>
          </cell>
          <cell r="H99" t="str">
            <v>PBT-GF30</v>
          </cell>
          <cell r="J99" t="str">
            <v>BLACK</v>
          </cell>
          <cell r="O99">
            <v>1.0000000000000001E-5</v>
          </cell>
        </row>
        <row r="100">
          <cell r="F100" t="str">
            <v>P46-1B220</v>
          </cell>
          <cell r="H100" t="str">
            <v>C1100</v>
          </cell>
          <cell r="J100" t="str">
            <v>SILVER</v>
          </cell>
          <cell r="O100">
            <v>9.1000000000000004E-3</v>
          </cell>
        </row>
        <row r="101">
          <cell r="F101" t="str">
            <v>P46-15210</v>
          </cell>
          <cell r="H101" t="str">
            <v>SLICON</v>
          </cell>
          <cell r="J101" t="str">
            <v>BLUE</v>
          </cell>
          <cell r="O101">
            <v>2.0000000000000001E-4</v>
          </cell>
        </row>
        <row r="102">
          <cell r="F102" t="str">
            <v>P46-12310</v>
          </cell>
          <cell r="H102" t="str">
            <v>PBT-GF30</v>
          </cell>
          <cell r="J102" t="str">
            <v>BLACK</v>
          </cell>
          <cell r="O102">
            <v>5.0999999999999995E-3</v>
          </cell>
        </row>
        <row r="103">
          <cell r="F103" t="str">
            <v>P46-12320</v>
          </cell>
          <cell r="H103" t="str">
            <v>PBT-GF30</v>
          </cell>
          <cell r="J103" t="str">
            <v>BLACK</v>
          </cell>
          <cell r="O103">
            <v>7.3000000000000001E-3</v>
          </cell>
        </row>
        <row r="104">
          <cell r="F104" t="str">
            <v>P46-15220</v>
          </cell>
          <cell r="H104" t="str">
            <v>SLICON</v>
          </cell>
          <cell r="J104" t="str">
            <v>ORANGE</v>
          </cell>
          <cell r="O104">
            <v>1.1000000000000001E-3</v>
          </cell>
        </row>
        <row r="105">
          <cell r="F105" t="str">
            <v>P46-15230</v>
          </cell>
          <cell r="H105" t="str">
            <v>SLICON</v>
          </cell>
          <cell r="J105" t="str">
            <v>RED</v>
          </cell>
          <cell r="O105">
            <v>2E-3</v>
          </cell>
        </row>
        <row r="106">
          <cell r="F106" t="str">
            <v>P46-1B230</v>
          </cell>
          <cell r="H106" t="str">
            <v>C1100</v>
          </cell>
          <cell r="J106" t="str">
            <v>SILVER</v>
          </cell>
          <cell r="O106">
            <v>6.6500000000000004E-2</v>
          </cell>
        </row>
        <row r="107">
          <cell r="F107" t="str">
            <v>P46-12450</v>
          </cell>
          <cell r="H107" t="str">
            <v>PBT-GF30</v>
          </cell>
          <cell r="J107" t="str">
            <v>BLACK</v>
          </cell>
          <cell r="O107">
            <v>2.0000000000000001E-4</v>
          </cell>
        </row>
        <row r="108">
          <cell r="F108" t="str">
            <v>P46-1B240</v>
          </cell>
          <cell r="H108" t="str">
            <v>C1100</v>
          </cell>
          <cell r="J108" t="str">
            <v>SILVER</v>
          </cell>
          <cell r="O108">
            <v>0.1014</v>
          </cell>
        </row>
        <row r="109">
          <cell r="F109" t="str">
            <v>P46-15240</v>
          </cell>
          <cell r="H109" t="str">
            <v>SLICON</v>
          </cell>
          <cell r="J109" t="str">
            <v>ORANGE</v>
          </cell>
          <cell r="O109">
            <v>5.0000000000000001E-4</v>
          </cell>
        </row>
        <row r="110">
          <cell r="F110" t="str">
            <v>P46-15260</v>
          </cell>
          <cell r="H110" t="str">
            <v>SLICON</v>
          </cell>
          <cell r="J110" t="str">
            <v>GREEN</v>
          </cell>
          <cell r="O110">
            <v>5.9999999999999995E-4</v>
          </cell>
        </row>
        <row r="111">
          <cell r="F111" t="str">
            <v>P47-12320</v>
          </cell>
          <cell r="H111" t="str">
            <v>PBT-GF30</v>
          </cell>
          <cell r="J111" t="str">
            <v>BLACK</v>
          </cell>
          <cell r="O111">
            <v>3.5000000000000001E-3</v>
          </cell>
        </row>
        <row r="112">
          <cell r="F112" t="str">
            <v>P47-12330</v>
          </cell>
          <cell r="H112" t="str">
            <v>PBT-GF30</v>
          </cell>
          <cell r="J112" t="str">
            <v>BLACK</v>
          </cell>
          <cell r="O112">
            <v>7.0000000000000001E-3</v>
          </cell>
        </row>
        <row r="113">
          <cell r="F113" t="str">
            <v>P47-12340</v>
          </cell>
          <cell r="H113" t="str">
            <v>PBT-GF30</v>
          </cell>
          <cell r="J113" t="str">
            <v>BLACK</v>
          </cell>
          <cell r="O113">
            <v>4.2000000000000006E-3</v>
          </cell>
        </row>
        <row r="114">
          <cell r="F114" t="str">
            <v>P47-15220</v>
          </cell>
          <cell r="H114" t="str">
            <v>SLICON</v>
          </cell>
          <cell r="J114" t="str">
            <v>GREEN</v>
          </cell>
          <cell r="O114">
            <v>8.0000000000000004E-4</v>
          </cell>
        </row>
        <row r="115">
          <cell r="F115" t="str">
            <v>P47-15230</v>
          </cell>
          <cell r="H115" t="str">
            <v>SLICON</v>
          </cell>
          <cell r="J115" t="str">
            <v>GREEN</v>
          </cell>
          <cell r="O115">
            <v>1.6999999999999999E-3</v>
          </cell>
        </row>
        <row r="116">
          <cell r="F116" t="str">
            <v>P47-12440</v>
          </cell>
          <cell r="H116" t="str">
            <v>PBT-GF30</v>
          </cell>
          <cell r="J116" t="str">
            <v>BLACK</v>
          </cell>
          <cell r="O116">
            <v>2.9999999999999997E-4</v>
          </cell>
        </row>
        <row r="117">
          <cell r="F117" t="str">
            <v>P49-12100</v>
          </cell>
          <cell r="H117" t="str">
            <v>PA6+PA66+PE</v>
          </cell>
          <cell r="J117" t="str">
            <v>ORANGE</v>
          </cell>
          <cell r="O117">
            <v>1.24E-2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15"/>
  <sheetViews>
    <sheetView tabSelected="1" zoomScaleNormal="100" workbookViewId="0">
      <selection activeCell="B10" sqref="B10"/>
    </sheetView>
  </sheetViews>
  <sheetFormatPr defaultRowHeight="15"/>
  <cols>
    <col min="1" max="9" width="20.7109375" style="1" customWidth="1"/>
    <col min="10" max="16384" width="9.140625" style="1"/>
  </cols>
  <sheetData>
    <row r="1" spans="1:9" ht="15.75">
      <c r="A1" s="2" t="s">
        <v>0</v>
      </c>
      <c r="B1" s="2" t="s">
        <v>1</v>
      </c>
      <c r="C1" s="2" t="s">
        <v>5</v>
      </c>
      <c r="D1" s="2" t="s">
        <v>8</v>
      </c>
      <c r="E1" s="2" t="s">
        <v>6</v>
      </c>
      <c r="F1" s="2" t="s">
        <v>2</v>
      </c>
      <c r="G1" s="2" t="s">
        <v>7</v>
      </c>
      <c r="H1" s="2" t="s">
        <v>3</v>
      </c>
      <c r="I1" s="3" t="s">
        <v>4</v>
      </c>
    </row>
    <row r="2" spans="1:9">
      <c r="A2" s="11" t="s">
        <v>9</v>
      </c>
      <c r="B2" s="12" t="s">
        <v>10</v>
      </c>
      <c r="C2" s="12" t="s">
        <v>11</v>
      </c>
      <c r="D2" s="1">
        <f>VLOOKUP(B2,[1]BOM!$F$6:$P$117,11,FALSE)</f>
        <v>300</v>
      </c>
      <c r="E2" s="13">
        <v>12075</v>
      </c>
      <c r="F2" s="12" t="s">
        <v>12</v>
      </c>
      <c r="G2" s="1">
        <v>0.89200000000000002</v>
      </c>
      <c r="H2" s="14">
        <v>10770.9</v>
      </c>
    </row>
    <row r="3" spans="1:9">
      <c r="A3" s="11" t="s">
        <v>9</v>
      </c>
      <c r="B3" s="12" t="s">
        <v>13</v>
      </c>
      <c r="C3" s="12" t="s">
        <v>11</v>
      </c>
      <c r="D3" s="1">
        <f>VLOOKUP(B3,[1]BOM!$F$6:$P$117,11,FALSE)</f>
        <v>1000</v>
      </c>
      <c r="E3" s="13">
        <v>10000</v>
      </c>
      <c r="F3" s="12" t="s">
        <v>12</v>
      </c>
      <c r="G3" s="1">
        <v>8.4000000000000005E-2</v>
      </c>
      <c r="H3" s="14">
        <v>840</v>
      </c>
    </row>
    <row r="4" spans="1:9">
      <c r="A4" s="11" t="s">
        <v>9</v>
      </c>
      <c r="B4" s="24" t="s">
        <v>14</v>
      </c>
      <c r="C4" s="12" t="s">
        <v>11</v>
      </c>
      <c r="D4" s="1">
        <f>VLOOKUP(B4,[1]BOM!$F$6:$P$117,11,FALSE)</f>
        <v>1000</v>
      </c>
      <c r="E4" s="13">
        <v>10000</v>
      </c>
      <c r="F4" s="12" t="s">
        <v>12</v>
      </c>
      <c r="G4" s="1">
        <v>8.4000000000000005E-2</v>
      </c>
      <c r="H4" s="14">
        <v>840</v>
      </c>
    </row>
    <row r="5" spans="1:9">
      <c r="A5" s="11" t="s">
        <v>9</v>
      </c>
      <c r="B5" s="12" t="s">
        <v>15</v>
      </c>
      <c r="C5" s="12" t="s">
        <v>11</v>
      </c>
      <c r="D5" s="1">
        <f>VLOOKUP(B5,[1]BOM!$F$6:$P$117,11,FALSE)</f>
        <v>1000</v>
      </c>
      <c r="E5" s="15">
        <v>10000</v>
      </c>
      <c r="F5" s="12" t="s">
        <v>12</v>
      </c>
      <c r="G5" s="1">
        <v>8.4000000000000005E-2</v>
      </c>
      <c r="H5" s="14">
        <v>840</v>
      </c>
    </row>
    <row r="6" spans="1:9">
      <c r="A6" s="11" t="s">
        <v>9</v>
      </c>
      <c r="B6" s="12" t="s">
        <v>16</v>
      </c>
      <c r="C6" s="12" t="s">
        <v>11</v>
      </c>
      <c r="D6" s="1">
        <f>VLOOKUP(B6,[1]BOM!$F$6:$P$117,11,FALSE)</f>
        <v>1000</v>
      </c>
      <c r="E6" s="13">
        <v>10000</v>
      </c>
      <c r="F6" s="12" t="s">
        <v>12</v>
      </c>
      <c r="G6" s="1">
        <v>8.4000000000000005E-2</v>
      </c>
      <c r="H6" s="14">
        <v>840</v>
      </c>
    </row>
    <row r="7" spans="1:9">
      <c r="A7" s="11" t="s">
        <v>9</v>
      </c>
      <c r="B7" s="24" t="s">
        <v>17</v>
      </c>
      <c r="C7" s="12" t="s">
        <v>11</v>
      </c>
      <c r="D7" s="1">
        <f>VLOOKUP(B7,[1]BOM!$F$6:$P$117,11,FALSE)</f>
        <v>1000</v>
      </c>
      <c r="E7" s="13">
        <v>10000</v>
      </c>
      <c r="F7" s="12" t="s">
        <v>12</v>
      </c>
      <c r="G7" s="1">
        <v>8.4000000000000005E-2</v>
      </c>
      <c r="H7" s="14">
        <v>840</v>
      </c>
    </row>
    <row r="8" spans="1:9">
      <c r="A8" s="11" t="s">
        <v>9</v>
      </c>
      <c r="B8" s="12" t="s">
        <v>18</v>
      </c>
      <c r="C8" s="12" t="s">
        <v>11</v>
      </c>
      <c r="D8" s="1">
        <f>VLOOKUP(B8,[1]BOM!$F$6:$P$117,11,FALSE)</f>
        <v>1000</v>
      </c>
      <c r="E8" s="16">
        <v>10000</v>
      </c>
      <c r="F8" s="12" t="s">
        <v>12</v>
      </c>
      <c r="G8" s="1">
        <v>8.4000000000000005E-2</v>
      </c>
      <c r="H8" s="14">
        <v>840</v>
      </c>
    </row>
    <row r="9" spans="1:9" s="21" customFormat="1">
      <c r="A9" s="18" t="s">
        <v>9</v>
      </c>
      <c r="B9" s="19" t="s">
        <v>19</v>
      </c>
      <c r="C9" s="20" t="s">
        <v>11</v>
      </c>
      <c r="D9" s="21">
        <f>VLOOKUP(B9,[1]BOM!$F$6:$P$117,11,FALSE)</f>
        <v>1000</v>
      </c>
      <c r="E9" s="22">
        <v>10000</v>
      </c>
      <c r="F9" s="20" t="s">
        <v>12</v>
      </c>
      <c r="G9" s="21">
        <v>8.4000000000000005E-2</v>
      </c>
      <c r="H9" s="23">
        <v>840</v>
      </c>
    </row>
    <row r="10" spans="1:9" s="21" customFormat="1">
      <c r="A10" s="18" t="s">
        <v>9</v>
      </c>
      <c r="B10" s="19" t="s">
        <v>20</v>
      </c>
      <c r="C10" s="20" t="s">
        <v>11</v>
      </c>
      <c r="D10" s="21">
        <f>VLOOKUP(B10,[1]BOM!$F$6:$P$117,11,FALSE)</f>
        <v>1000</v>
      </c>
      <c r="E10" s="22">
        <v>10000</v>
      </c>
      <c r="F10" s="20" t="s">
        <v>12</v>
      </c>
      <c r="G10" s="21">
        <v>8.4000000000000005E-2</v>
      </c>
      <c r="H10" s="23">
        <v>840</v>
      </c>
    </row>
    <row r="11" spans="1:9">
      <c r="A11" s="11" t="s">
        <v>9</v>
      </c>
      <c r="B11" s="17" t="s">
        <v>21</v>
      </c>
      <c r="C11" s="12" t="s">
        <v>11</v>
      </c>
      <c r="D11" s="1">
        <f>VLOOKUP(B11,[1]BOM!$F$6:$P$117,11,FALSE)</f>
        <v>300</v>
      </c>
      <c r="E11" s="13">
        <v>11400</v>
      </c>
      <c r="F11" s="12" t="s">
        <v>12</v>
      </c>
      <c r="G11" s="1">
        <v>22.138999999999999</v>
      </c>
      <c r="H11" s="14">
        <v>252384.6</v>
      </c>
    </row>
    <row r="12" spans="1:9">
      <c r="A12" s="4"/>
      <c r="B12" s="5"/>
      <c r="C12" s="5"/>
      <c r="D12" s="6"/>
      <c r="E12" s="9">
        <f>SUM(E2:E11)</f>
        <v>103475</v>
      </c>
      <c r="F12" s="7"/>
      <c r="G12" s="8"/>
      <c r="H12" s="9">
        <f>SUM(H2:H11)</f>
        <v>269875.5</v>
      </c>
      <c r="I12" s="10"/>
    </row>
    <row r="13" spans="1:9">
      <c r="A13" s="4"/>
      <c r="B13" s="5"/>
      <c r="C13" s="5"/>
      <c r="D13" s="6"/>
      <c r="E13" s="6"/>
      <c r="F13" s="7"/>
      <c r="G13" s="8"/>
      <c r="H13" s="9"/>
      <c r="I13" s="10"/>
    </row>
    <row r="14" spans="1:9">
      <c r="A14" s="4"/>
      <c r="B14" s="5"/>
      <c r="C14" s="5"/>
      <c r="D14" s="6"/>
      <c r="E14" s="6"/>
      <c r="F14" s="7"/>
      <c r="G14" s="8"/>
      <c r="H14" s="9"/>
      <c r="I14" s="10"/>
    </row>
    <row r="15" spans="1:9">
      <c r="A15" s="4"/>
      <c r="B15" s="5"/>
      <c r="C15" s="5"/>
      <c r="D15" s="6"/>
      <c r="E15" s="6"/>
      <c r="F15" s="7"/>
      <c r="G15" s="8"/>
      <c r="H15" s="9"/>
      <c r="I15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2025-09-29T01:35:52Z</dcterms:created>
  <dcterms:modified xsi:type="dcterms:W3CDTF">2025-10-13T05:34:37Z</dcterms:modified>
</cp:coreProperties>
</file>