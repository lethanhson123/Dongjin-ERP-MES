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967C742-6DC9-4149-99D5-37EB23A1B85E}" xr6:coauthVersionLast="47" xr6:coauthVersionMax="47" xr10:uidLastSave="{00000000-0000-0000-0000-000000000000}"/>
  <bookViews>
    <workbookView xWindow="28680" yWindow="-120" windowWidth="29040" windowHeight="15840" xr2:uid="{C3AEED3B-64DE-4C56-B841-17E2190B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1" l="1"/>
  <c r="C64" i="1"/>
  <c r="C63" i="1"/>
  <c r="C62" i="1"/>
  <c r="C61" i="1"/>
  <c r="C60" i="1"/>
  <c r="C59" i="1"/>
  <c r="E56" i="1"/>
  <c r="C56" i="1"/>
  <c r="E55" i="1"/>
  <c r="C55" i="1"/>
  <c r="E54" i="1"/>
  <c r="C54" i="1"/>
  <c r="E53" i="1"/>
  <c r="C52" i="1"/>
  <c r="C51" i="1"/>
  <c r="C50" i="1"/>
  <c r="C49" i="1"/>
  <c r="D47" i="1"/>
  <c r="C47" i="1"/>
  <c r="E46" i="1"/>
  <c r="C46" i="1"/>
  <c r="E45" i="1"/>
  <c r="C45" i="1"/>
  <c r="C28" i="1"/>
</calcChain>
</file>

<file path=xl/sharedStrings.xml><?xml version="1.0" encoding="utf-8"?>
<sst xmlns="http://schemas.openxmlformats.org/spreadsheetml/2006/main" count="133" uniqueCount="71">
  <si>
    <t>ST731409-3</t>
  </si>
  <si>
    <t>ST741332-3</t>
  </si>
  <si>
    <t>DP120191MV05</t>
  </si>
  <si>
    <t>PART NO MES</t>
  </si>
  <si>
    <t>GB080-01020</t>
  </si>
  <si>
    <t>AVSS125R_MV</t>
  </si>
  <si>
    <t>AVSS05OB_MV</t>
  </si>
  <si>
    <t>AVSS125B_MV</t>
  </si>
  <si>
    <t>AVSS05Br_MV</t>
  </si>
  <si>
    <t>AVSS05G_MV</t>
  </si>
  <si>
    <t>AVSS05L_MV</t>
  </si>
  <si>
    <t>AVSS05O_MV</t>
  </si>
  <si>
    <t>AVSS05P_MV</t>
  </si>
  <si>
    <t>AVSS05RB_MV</t>
  </si>
  <si>
    <t>AVSS05W_MV</t>
  </si>
  <si>
    <t>AVSS05Y_MV</t>
  </si>
  <si>
    <t>ST730770-3</t>
  </si>
  <si>
    <t>MG645809</t>
  </si>
  <si>
    <t>ST741346-3</t>
  </si>
  <si>
    <t>ST741286-3</t>
  </si>
  <si>
    <t>MG656961-5</t>
  </si>
  <si>
    <t>ST731411-3</t>
  </si>
  <si>
    <t>MG622229</t>
  </si>
  <si>
    <t>ST740672-3</t>
  </si>
  <si>
    <t>ST740673-3</t>
  </si>
  <si>
    <t>MG632230-1</t>
  </si>
  <si>
    <t>MG651044</t>
  </si>
  <si>
    <t>ST730675-3</t>
  </si>
  <si>
    <t>ST730676-3</t>
  </si>
  <si>
    <t>368501-1</t>
  </si>
  <si>
    <t>DACSMV30X115</t>
  </si>
  <si>
    <t>DACSMV30X110</t>
  </si>
  <si>
    <t>DACSMV30X50</t>
  </si>
  <si>
    <t>173631-1</t>
  </si>
  <si>
    <t>DACSMV30X545</t>
  </si>
  <si>
    <t>DACSMV30X975</t>
  </si>
  <si>
    <t>DACSMV30X85</t>
  </si>
  <si>
    <t>DACSMV30X590</t>
  </si>
  <si>
    <t>B150300441A</t>
  </si>
  <si>
    <t>C11BK_C</t>
  </si>
  <si>
    <t>DACSMV30X25</t>
  </si>
  <si>
    <t>GB080-02150</t>
  </si>
  <si>
    <t>MG631267-5</t>
  </si>
  <si>
    <t>MG641047</t>
  </si>
  <si>
    <t>MG651201-4</t>
  </si>
  <si>
    <t>DACSMV30X150</t>
  </si>
  <si>
    <t>DACSMV30X370</t>
  </si>
  <si>
    <t>DACSMV30X400</t>
  </si>
  <si>
    <t>MG652987</t>
  </si>
  <si>
    <t>DACSMV50X20</t>
  </si>
  <si>
    <t>DACSMV50X120</t>
  </si>
  <si>
    <t>DACSMV50X375</t>
  </si>
  <si>
    <t>DACSMV70X120</t>
  </si>
  <si>
    <t>DACSMV70X135</t>
  </si>
  <si>
    <t>DACSMV70X290</t>
  </si>
  <si>
    <t>AVSS125WO_MV</t>
  </si>
  <si>
    <t>AVSS125YO_MV</t>
  </si>
  <si>
    <t>AVSS125LO_MV</t>
  </si>
  <si>
    <t>AVSS125BRO_MV</t>
  </si>
  <si>
    <t>AVSS125G_MV</t>
  </si>
  <si>
    <t>AVSS125W_MV</t>
  </si>
  <si>
    <t>AVSS05GRB_MV</t>
  </si>
  <si>
    <t>AVSS05Gr_MV</t>
  </si>
  <si>
    <t>AVSS05R_MV</t>
  </si>
  <si>
    <t>AVSS05B_MV</t>
  </si>
  <si>
    <t>UNIT</t>
    <phoneticPr fontId="2" type="noConversion"/>
  </si>
  <si>
    <t>EA</t>
    <phoneticPr fontId="2" type="noConversion"/>
  </si>
  <si>
    <t>M</t>
    <phoneticPr fontId="2" type="noConversion"/>
  </si>
  <si>
    <t>89551-PW000</t>
  </si>
  <si>
    <t>89561-PW000</t>
  </si>
  <si>
    <t>89661-PW000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</si>
</sst>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EA80-01A0-4DF9-8DF6-900C80F95421}">
  <dimension ref="A1:AB102"/>
  <sheetViews>
    <sheetView tabSelected="1" workbookViewId="0">
      <selection activeCell="E2" sqref="E2"/>
    </sheetView>
  </sheetViews>
  <sheetFormatPr defaultRowHeight="15"/>
  <cols>
    <col min="1" max="16" width="20.7109375" customWidth="1"/>
  </cols>
  <sheetData>
    <row r="1" spans="1:28">
      <c r="A1" s="1" t="s">
        <v>3</v>
      </c>
      <c r="B1" s="9" t="s">
        <v>65</v>
      </c>
      <c r="C1" s="11" t="s">
        <v>68</v>
      </c>
      <c r="D1" s="11" t="s">
        <v>69</v>
      </c>
      <c r="E1" s="11" t="s">
        <v>70</v>
      </c>
      <c r="F1" s="7"/>
      <c r="G1" s="7"/>
      <c r="H1" s="7"/>
      <c r="I1" s="7"/>
      <c r="J1" s="7"/>
      <c r="K1" s="3"/>
      <c r="L1" s="2"/>
      <c r="M1" s="1"/>
      <c r="N1" s="1"/>
      <c r="O1" s="1"/>
      <c r="P1" s="1"/>
    </row>
    <row r="2" spans="1:28">
      <c r="A2" s="1" t="s">
        <v>17</v>
      </c>
      <c r="B2" s="10" t="s">
        <v>66</v>
      </c>
      <c r="C2" s="10">
        <v>1</v>
      </c>
      <c r="D2" s="10"/>
      <c r="E2" s="10"/>
      <c r="F2" s="1"/>
      <c r="G2" s="1"/>
      <c r="H2" s="1"/>
      <c r="I2" s="1"/>
      <c r="J2" s="1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 t="s">
        <v>18</v>
      </c>
      <c r="B3" s="10" t="s">
        <v>66</v>
      </c>
      <c r="C3" s="10">
        <v>14</v>
      </c>
      <c r="D3" s="10"/>
      <c r="E3" s="10"/>
      <c r="F3" s="1"/>
      <c r="G3" s="1"/>
      <c r="H3" s="1"/>
      <c r="I3" s="1"/>
      <c r="J3" s="1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" t="s">
        <v>1</v>
      </c>
      <c r="B4" s="10" t="s">
        <v>66</v>
      </c>
      <c r="C4" s="10">
        <v>2</v>
      </c>
      <c r="D4" s="10"/>
      <c r="E4" s="10"/>
      <c r="F4" s="1"/>
      <c r="G4" s="1"/>
      <c r="H4" s="1"/>
      <c r="I4" s="1"/>
      <c r="J4" s="1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 t="s">
        <v>19</v>
      </c>
      <c r="B5" s="10" t="s">
        <v>66</v>
      </c>
      <c r="C5" s="10">
        <v>4</v>
      </c>
      <c r="D5" s="10"/>
      <c r="E5" s="10"/>
      <c r="F5" s="1"/>
      <c r="G5" s="1"/>
      <c r="H5" s="1"/>
      <c r="I5" s="1"/>
      <c r="J5" s="1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 t="s">
        <v>20</v>
      </c>
      <c r="B6" s="10" t="s">
        <v>66</v>
      </c>
      <c r="C6" s="10">
        <v>1</v>
      </c>
      <c r="D6" s="10"/>
      <c r="E6" s="10"/>
      <c r="F6" s="1"/>
      <c r="G6" s="1"/>
      <c r="H6" s="1"/>
      <c r="I6" s="1"/>
      <c r="J6" s="1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 t="s">
        <v>0</v>
      </c>
      <c r="B7" s="10" t="s">
        <v>66</v>
      </c>
      <c r="C7" s="10">
        <v>14</v>
      </c>
      <c r="D7" s="10"/>
      <c r="E7" s="10"/>
      <c r="F7" s="1"/>
      <c r="G7" s="1"/>
      <c r="H7" s="1"/>
      <c r="I7" s="1"/>
      <c r="J7" s="1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 t="s">
        <v>21</v>
      </c>
      <c r="B8" s="10" t="s">
        <v>66</v>
      </c>
      <c r="C8" s="10">
        <v>8</v>
      </c>
      <c r="D8" s="10"/>
      <c r="E8" s="10"/>
      <c r="F8" s="1"/>
      <c r="G8" s="1"/>
      <c r="H8" s="1"/>
      <c r="I8" s="1"/>
      <c r="J8" s="1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22</v>
      </c>
      <c r="B9" s="10" t="s">
        <v>66</v>
      </c>
      <c r="C9" s="10">
        <v>2</v>
      </c>
      <c r="D9" s="10"/>
      <c r="E9" s="10"/>
      <c r="F9" s="1"/>
      <c r="G9" s="1"/>
      <c r="H9" s="1"/>
      <c r="I9" s="1"/>
      <c r="J9" s="1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 t="s">
        <v>23</v>
      </c>
      <c r="B10" s="10" t="s">
        <v>66</v>
      </c>
      <c r="C10" s="10">
        <v>4</v>
      </c>
      <c r="D10" s="10">
        <v>2</v>
      </c>
      <c r="E10" s="10">
        <v>4</v>
      </c>
      <c r="F10" s="1"/>
      <c r="G10" s="1"/>
      <c r="H10" s="1"/>
      <c r="I10" s="1"/>
      <c r="J10" s="1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24</v>
      </c>
      <c r="B11" s="10" t="s">
        <v>66</v>
      </c>
      <c r="C11" s="10">
        <v>4</v>
      </c>
      <c r="D11" s="10">
        <v>2</v>
      </c>
      <c r="E11" s="10">
        <v>2</v>
      </c>
      <c r="F11" s="1"/>
      <c r="G11" s="1"/>
      <c r="H11" s="1"/>
      <c r="I11" s="1"/>
      <c r="J11" s="1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25</v>
      </c>
      <c r="B12" s="10" t="s">
        <v>66</v>
      </c>
      <c r="C12" s="10">
        <v>2</v>
      </c>
      <c r="D12" s="10"/>
      <c r="E12" s="10"/>
      <c r="F12" s="1"/>
      <c r="G12" s="1"/>
      <c r="H12" s="1"/>
      <c r="I12" s="1"/>
      <c r="J12" s="1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" t="s">
        <v>26</v>
      </c>
      <c r="B13" s="10" t="s">
        <v>66</v>
      </c>
      <c r="C13" s="10">
        <v>2</v>
      </c>
      <c r="D13" s="10"/>
      <c r="E13" s="10"/>
      <c r="F13" s="1"/>
      <c r="G13" s="1"/>
      <c r="H13" s="1"/>
      <c r="I13" s="1"/>
      <c r="J13" s="1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" t="s">
        <v>27</v>
      </c>
      <c r="B14" s="10" t="s">
        <v>66</v>
      </c>
      <c r="C14" s="10">
        <v>6</v>
      </c>
      <c r="D14" s="10"/>
      <c r="E14" s="10"/>
      <c r="F14" s="1"/>
      <c r="G14" s="1"/>
      <c r="H14" s="1"/>
      <c r="I14" s="1"/>
      <c r="J14" s="1"/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" t="s">
        <v>28</v>
      </c>
      <c r="B15" s="10" t="s">
        <v>66</v>
      </c>
      <c r="C15" s="10">
        <v>4</v>
      </c>
      <c r="D15" s="10">
        <v>2</v>
      </c>
      <c r="E15" s="10">
        <v>2</v>
      </c>
      <c r="F15" s="1"/>
      <c r="G15" s="1"/>
      <c r="H15" s="1"/>
      <c r="I15" s="1"/>
      <c r="J15" s="1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" t="s">
        <v>29</v>
      </c>
      <c r="B16" s="10" t="s">
        <v>66</v>
      </c>
      <c r="C16" s="10"/>
      <c r="D16" s="10"/>
      <c r="E16" s="10">
        <v>1</v>
      </c>
      <c r="F16" s="1"/>
      <c r="G16" s="1"/>
      <c r="H16" s="1"/>
      <c r="I16" s="1"/>
      <c r="J16" s="1"/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" t="s">
        <v>30</v>
      </c>
      <c r="B17" s="10" t="s">
        <v>66</v>
      </c>
      <c r="C17" s="10"/>
      <c r="D17" s="10"/>
      <c r="E17" s="10">
        <v>1</v>
      </c>
      <c r="F17" s="1"/>
      <c r="G17" s="1"/>
      <c r="H17" s="1"/>
      <c r="I17" s="1"/>
      <c r="J17" s="1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" t="s">
        <v>31</v>
      </c>
      <c r="B18" s="10" t="s">
        <v>66</v>
      </c>
      <c r="C18" s="10"/>
      <c r="D18" s="10"/>
      <c r="E18" s="10">
        <v>1</v>
      </c>
      <c r="F18" s="1"/>
      <c r="G18" s="1"/>
      <c r="H18" s="1"/>
      <c r="I18" s="1"/>
      <c r="J18" s="1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" t="s">
        <v>16</v>
      </c>
      <c r="B19" s="10" t="s">
        <v>66</v>
      </c>
      <c r="C19" s="10"/>
      <c r="D19" s="10">
        <v>2</v>
      </c>
      <c r="E19" s="10">
        <v>2</v>
      </c>
      <c r="F19" s="1"/>
      <c r="G19" s="1"/>
      <c r="H19" s="1"/>
      <c r="I19" s="1"/>
      <c r="J19" s="1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" t="s">
        <v>32</v>
      </c>
      <c r="B20" s="10" t="s">
        <v>66</v>
      </c>
      <c r="C20" s="10">
        <v>1</v>
      </c>
      <c r="D20" s="10"/>
      <c r="E20" s="10">
        <v>1</v>
      </c>
      <c r="F20" s="1"/>
      <c r="G20" s="1"/>
      <c r="H20" s="1"/>
      <c r="I20" s="1"/>
      <c r="J20" s="1"/>
      <c r="K20" s="4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 t="s">
        <v>33</v>
      </c>
      <c r="B21" s="10" t="s">
        <v>66</v>
      </c>
      <c r="C21" s="10"/>
      <c r="D21" s="10"/>
      <c r="E21" s="10">
        <v>2</v>
      </c>
      <c r="F21" s="1"/>
      <c r="G21" s="1"/>
      <c r="H21" s="1"/>
      <c r="I21" s="1"/>
      <c r="J21" s="1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" t="s">
        <v>34</v>
      </c>
      <c r="B22" s="10" t="s">
        <v>66</v>
      </c>
      <c r="C22" s="10"/>
      <c r="D22" s="10"/>
      <c r="E22" s="10">
        <v>1</v>
      </c>
      <c r="F22" s="1"/>
      <c r="G22" s="1"/>
      <c r="H22" s="1"/>
      <c r="I22" s="1"/>
      <c r="J22" s="1"/>
      <c r="K22" s="4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" t="s">
        <v>35</v>
      </c>
      <c r="B23" s="10" t="s">
        <v>66</v>
      </c>
      <c r="C23" s="10">
        <v>1</v>
      </c>
      <c r="D23" s="10"/>
      <c r="E23" s="10"/>
      <c r="F23" s="1"/>
      <c r="G23" s="1"/>
      <c r="H23" s="1"/>
      <c r="I23" s="1"/>
      <c r="J23" s="1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" t="s">
        <v>36</v>
      </c>
      <c r="B24" s="10" t="s">
        <v>66</v>
      </c>
      <c r="C24" s="10"/>
      <c r="D24" s="10">
        <v>1</v>
      </c>
      <c r="E24" s="10"/>
      <c r="F24" s="1"/>
      <c r="G24" s="1"/>
      <c r="H24" s="1"/>
      <c r="I24" s="1"/>
      <c r="J24" s="1"/>
      <c r="K24" s="4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 t="s">
        <v>37</v>
      </c>
      <c r="B25" s="10" t="s">
        <v>66</v>
      </c>
      <c r="C25" s="10"/>
      <c r="D25" s="10"/>
      <c r="E25" s="10">
        <v>1</v>
      </c>
      <c r="F25" s="1"/>
      <c r="G25" s="1"/>
      <c r="H25" s="1"/>
      <c r="I25" s="1"/>
      <c r="J25" s="1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" t="s">
        <v>38</v>
      </c>
      <c r="B26" s="10" t="s">
        <v>66</v>
      </c>
      <c r="C26" s="10">
        <v>5</v>
      </c>
      <c r="D26" s="10"/>
      <c r="E26" s="10"/>
      <c r="F26" s="1"/>
      <c r="G26" s="1"/>
      <c r="H26" s="1"/>
      <c r="I26" s="1"/>
      <c r="J26" s="1"/>
      <c r="K26" s="4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" t="s">
        <v>39</v>
      </c>
      <c r="B27" s="10" t="s">
        <v>67</v>
      </c>
      <c r="C27" s="10">
        <v>0.06</v>
      </c>
      <c r="D27" s="10"/>
      <c r="E27" s="10"/>
      <c r="F27" s="1"/>
      <c r="G27" s="1"/>
      <c r="H27" s="1"/>
      <c r="I27" s="1"/>
      <c r="J27" s="1"/>
      <c r="K27" s="4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 t="s">
        <v>2</v>
      </c>
      <c r="B28" s="10" t="s">
        <v>67</v>
      </c>
      <c r="C28" s="10">
        <f>0.06*4+0.43*4</f>
        <v>1.96</v>
      </c>
      <c r="D28" s="10"/>
      <c r="E28" s="10"/>
      <c r="F28" s="1"/>
      <c r="G28" s="1"/>
      <c r="H28" s="1"/>
      <c r="I28" s="1"/>
      <c r="J28" s="1"/>
      <c r="K28" s="4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" t="s">
        <v>40</v>
      </c>
      <c r="B29" s="10" t="s">
        <v>66</v>
      </c>
      <c r="C29" s="10"/>
      <c r="D29" s="10">
        <v>1</v>
      </c>
      <c r="E29" s="10"/>
      <c r="F29" s="1"/>
      <c r="G29" s="1"/>
      <c r="H29" s="1"/>
      <c r="I29" s="1"/>
      <c r="J29" s="1"/>
      <c r="K29" s="4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 t="s">
        <v>41</v>
      </c>
      <c r="B30" s="10" t="s">
        <v>66</v>
      </c>
      <c r="C30" s="10"/>
      <c r="D30" s="10"/>
      <c r="E30" s="10">
        <v>1</v>
      </c>
      <c r="F30" s="1"/>
      <c r="G30" s="1"/>
      <c r="H30" s="1"/>
      <c r="I30" s="1"/>
      <c r="J30" s="1"/>
      <c r="K30" s="4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" t="s">
        <v>4</v>
      </c>
      <c r="B31" s="10" t="s">
        <v>66</v>
      </c>
      <c r="C31" s="10">
        <v>1</v>
      </c>
      <c r="D31" s="10">
        <v>1</v>
      </c>
      <c r="E31" s="10">
        <v>3</v>
      </c>
      <c r="F31" s="1"/>
      <c r="G31" s="1"/>
      <c r="H31" s="1"/>
      <c r="I31" s="1"/>
      <c r="J31" s="1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 t="s">
        <v>42</v>
      </c>
      <c r="B32" s="10" t="s">
        <v>66</v>
      </c>
      <c r="C32" s="10"/>
      <c r="D32" s="10">
        <v>1</v>
      </c>
      <c r="E32" s="10">
        <v>1</v>
      </c>
      <c r="F32" s="1"/>
      <c r="G32" s="1"/>
      <c r="H32" s="1"/>
      <c r="I32" s="1"/>
      <c r="J32" s="1"/>
      <c r="K32" s="4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 t="s">
        <v>43</v>
      </c>
      <c r="B33" s="10" t="s">
        <v>66</v>
      </c>
      <c r="C33" s="10"/>
      <c r="D33" s="10">
        <v>1</v>
      </c>
      <c r="E33" s="10">
        <v>1</v>
      </c>
      <c r="F33" s="1"/>
      <c r="G33" s="1"/>
      <c r="H33" s="1"/>
      <c r="I33" s="1"/>
      <c r="J33" s="1"/>
      <c r="K33" s="4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 t="s">
        <v>44</v>
      </c>
      <c r="B34" s="10" t="s">
        <v>66</v>
      </c>
      <c r="C34" s="10"/>
      <c r="D34" s="10">
        <v>1</v>
      </c>
      <c r="E34" s="10">
        <v>1</v>
      </c>
      <c r="F34" s="1"/>
      <c r="G34" s="1"/>
      <c r="H34" s="1"/>
      <c r="I34" s="1"/>
      <c r="J34" s="1"/>
      <c r="K34" s="4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 t="s">
        <v>45</v>
      </c>
      <c r="B35" s="10" t="s">
        <v>66</v>
      </c>
      <c r="C35" s="10"/>
      <c r="D35" s="10">
        <v>1</v>
      </c>
      <c r="E35" s="10"/>
      <c r="F35" s="1"/>
      <c r="G35" s="1"/>
      <c r="H35" s="1"/>
      <c r="I35" s="1"/>
      <c r="J35" s="1"/>
      <c r="K35" s="4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 t="s">
        <v>46</v>
      </c>
      <c r="B36" s="10" t="s">
        <v>66</v>
      </c>
      <c r="C36" s="10">
        <v>1</v>
      </c>
      <c r="D36" s="10"/>
      <c r="E36" s="10"/>
      <c r="F36" s="1"/>
      <c r="G36" s="1"/>
      <c r="H36" s="1"/>
      <c r="I36" s="1"/>
      <c r="J36" s="1"/>
      <c r="K36" s="4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 t="s">
        <v>47</v>
      </c>
      <c r="B37" s="10" t="s">
        <v>66</v>
      </c>
      <c r="C37" s="10">
        <v>1</v>
      </c>
      <c r="D37" s="10"/>
      <c r="E37" s="10"/>
      <c r="F37" s="1"/>
      <c r="G37" s="1"/>
      <c r="H37" s="1"/>
      <c r="I37" s="1"/>
      <c r="J37" s="1"/>
      <c r="K37" s="4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 t="s">
        <v>48</v>
      </c>
      <c r="B38" s="10" t="s">
        <v>66</v>
      </c>
      <c r="C38" s="10"/>
      <c r="D38" s="10">
        <v>1</v>
      </c>
      <c r="E38" s="10">
        <v>1</v>
      </c>
      <c r="F38" s="1"/>
      <c r="G38" s="1"/>
      <c r="H38" s="1"/>
      <c r="I38" s="1"/>
      <c r="J38" s="1"/>
      <c r="K38" s="4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 t="s">
        <v>49</v>
      </c>
      <c r="B39" s="10" t="s">
        <v>66</v>
      </c>
      <c r="C39" s="10">
        <v>1</v>
      </c>
      <c r="D39" s="10"/>
      <c r="E39" s="10"/>
      <c r="F39" s="1"/>
      <c r="G39" s="1"/>
      <c r="H39" s="1"/>
      <c r="I39" s="1"/>
      <c r="J39" s="1"/>
      <c r="K39" s="4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 t="s">
        <v>50</v>
      </c>
      <c r="B40" s="10" t="s">
        <v>66</v>
      </c>
      <c r="C40" s="10">
        <v>1</v>
      </c>
      <c r="D40" s="10"/>
      <c r="E40" s="10"/>
      <c r="F40" s="1"/>
      <c r="G40" s="1"/>
      <c r="H40" s="1"/>
      <c r="I40" s="1"/>
      <c r="J40" s="1"/>
      <c r="K40" s="4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 t="s">
        <v>51</v>
      </c>
      <c r="B41" s="10" t="s">
        <v>66</v>
      </c>
      <c r="C41" s="10">
        <v>1</v>
      </c>
      <c r="D41" s="10"/>
      <c r="E41" s="10"/>
      <c r="F41" s="1"/>
      <c r="G41" s="1"/>
      <c r="H41" s="1"/>
      <c r="I41" s="1"/>
      <c r="J41" s="1"/>
      <c r="K41" s="4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 t="s">
        <v>52</v>
      </c>
      <c r="B42" s="10" t="s">
        <v>66</v>
      </c>
      <c r="C42" s="10">
        <v>1</v>
      </c>
      <c r="D42" s="10"/>
      <c r="E42" s="10"/>
      <c r="F42" s="1"/>
      <c r="G42" s="1"/>
      <c r="H42" s="1"/>
      <c r="I42" s="1"/>
      <c r="J42" s="1"/>
      <c r="K42" s="4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 t="s">
        <v>53</v>
      </c>
      <c r="B43" s="10" t="s">
        <v>66</v>
      </c>
      <c r="C43" s="10">
        <v>1</v>
      </c>
      <c r="D43" s="10"/>
      <c r="E43" s="10"/>
      <c r="F43" s="1"/>
      <c r="G43" s="1"/>
      <c r="H43" s="1"/>
      <c r="I43" s="1"/>
      <c r="J43" s="1"/>
      <c r="K43" s="5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 t="s">
        <v>54</v>
      </c>
      <c r="B44" s="10" t="s">
        <v>66</v>
      </c>
      <c r="C44" s="10">
        <v>1</v>
      </c>
      <c r="D44" s="10"/>
      <c r="E44" s="10"/>
      <c r="F44" s="1"/>
      <c r="G44" s="1"/>
      <c r="H44" s="1"/>
      <c r="I44" s="1"/>
      <c r="J44" s="1"/>
      <c r="K44" s="5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 t="s">
        <v>55</v>
      </c>
      <c r="B45" s="10" t="s">
        <v>67</v>
      </c>
      <c r="C45" s="10">
        <f>(40+50+30+90)/1000+(415+30+90)/1000+(35+115+115+95)/1000</f>
        <v>1.105</v>
      </c>
      <c r="D45" s="10"/>
      <c r="E45" s="10">
        <f>(20+85+60)/1000</f>
        <v>0.16500000000000001</v>
      </c>
      <c r="F45" s="1"/>
      <c r="G45" s="1"/>
      <c r="H45" s="1"/>
      <c r="I45" s="1"/>
      <c r="J45" s="1"/>
      <c r="K45" s="4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 t="s">
        <v>56</v>
      </c>
      <c r="B46" s="10" t="s">
        <v>67</v>
      </c>
      <c r="C46" s="10">
        <f>(40+50+30+110)/1000+(415+30+110)/1000+(35+115+115+75)/1000</f>
        <v>1.125</v>
      </c>
      <c r="D46" s="10"/>
      <c r="E46" s="10">
        <f>(20+85+60)/1000</f>
        <v>0.16500000000000001</v>
      </c>
      <c r="F46" s="1"/>
      <c r="G46" s="1"/>
      <c r="H46" s="1"/>
      <c r="I46" s="1"/>
      <c r="J46" s="1"/>
      <c r="K46" s="4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 t="s">
        <v>57</v>
      </c>
      <c r="B47" s="10" t="s">
        <v>67</v>
      </c>
      <c r="C47" s="10">
        <f>(35+30+90)/1000+(385+90)/1000+(35+115+155+140)/1000</f>
        <v>1.075</v>
      </c>
      <c r="D47" s="10">
        <f>(20+20+90)/1000</f>
        <v>0.13</v>
      </c>
      <c r="E47" s="10"/>
      <c r="F47" s="1"/>
      <c r="G47" s="1"/>
      <c r="H47" s="1"/>
      <c r="I47" s="1"/>
      <c r="J47" s="1"/>
      <c r="K47" s="4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 t="s">
        <v>58</v>
      </c>
      <c r="B48" s="10" t="s">
        <v>67</v>
      </c>
      <c r="C48" s="10">
        <v>1.25</v>
      </c>
      <c r="D48" s="10">
        <v>0.16</v>
      </c>
      <c r="E48" s="10"/>
      <c r="F48" s="1"/>
      <c r="G48" s="1"/>
      <c r="H48" s="1"/>
      <c r="I48" s="1"/>
      <c r="J48" s="1"/>
      <c r="K48" s="4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 t="s">
        <v>59</v>
      </c>
      <c r="B49" s="10" t="s">
        <v>67</v>
      </c>
      <c r="C49" s="10">
        <f>(35+115+115+185+25+25+60+25)/1000</f>
        <v>0.58499999999999996</v>
      </c>
      <c r="D49" s="10"/>
      <c r="E49" s="10"/>
      <c r="F49" s="1"/>
      <c r="G49" s="1"/>
      <c r="H49" s="1"/>
      <c r="I49" s="1"/>
      <c r="J49" s="1"/>
      <c r="K49" s="4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 t="s">
        <v>7</v>
      </c>
      <c r="B50" s="10" t="s">
        <v>67</v>
      </c>
      <c r="C50" s="10">
        <f>(35+115+115+185+25+25+60+25)/1000</f>
        <v>0.58499999999999996</v>
      </c>
      <c r="D50" s="10"/>
      <c r="E50" s="10"/>
      <c r="F50" s="1"/>
      <c r="G50" s="1"/>
      <c r="H50" s="1"/>
      <c r="I50" s="1"/>
      <c r="J50" s="1"/>
      <c r="K50" s="5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 t="s">
        <v>60</v>
      </c>
      <c r="B51" s="10" t="s">
        <v>67</v>
      </c>
      <c r="C51" s="10">
        <f>(35+115+115+185+25+25+60+25)/1000</f>
        <v>0.58499999999999996</v>
      </c>
      <c r="D51" s="10"/>
      <c r="E51" s="10"/>
      <c r="F51" s="1"/>
      <c r="G51" s="1"/>
      <c r="H51" s="1"/>
      <c r="I51" s="1"/>
      <c r="J51" s="1"/>
      <c r="K51" s="4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 t="s">
        <v>5</v>
      </c>
      <c r="B52" s="10" t="s">
        <v>67</v>
      </c>
      <c r="C52" s="10">
        <f>(35+115+115+185+25+25+60+25)/1000</f>
        <v>0.58499999999999996</v>
      </c>
      <c r="D52" s="10"/>
      <c r="E52" s="10"/>
      <c r="F52" s="1"/>
      <c r="G52" s="1"/>
      <c r="H52" s="1"/>
      <c r="I52" s="1"/>
      <c r="J52" s="1"/>
      <c r="K52" s="4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 t="s">
        <v>8</v>
      </c>
      <c r="B53" s="10" t="s">
        <v>67</v>
      </c>
      <c r="C53" s="10">
        <v>1.24</v>
      </c>
      <c r="D53" s="10"/>
      <c r="E53" s="10">
        <f>(20+85+115+35+270+195)/1000</f>
        <v>0.72</v>
      </c>
      <c r="F53" s="1"/>
      <c r="G53" s="1"/>
      <c r="H53" s="1"/>
      <c r="I53" s="1"/>
      <c r="J53" s="1"/>
      <c r="K53" s="5"/>
      <c r="L53" s="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 t="s">
        <v>13</v>
      </c>
      <c r="B54" s="10" t="s">
        <v>67</v>
      </c>
      <c r="C54" s="10">
        <f>(25+60+25+25+30+415)/1000</f>
        <v>0.57999999999999996</v>
      </c>
      <c r="D54" s="10"/>
      <c r="E54" s="10">
        <f>(20+85+115+35+270+195)/1000</f>
        <v>0.72</v>
      </c>
      <c r="F54" s="1"/>
      <c r="G54" s="1"/>
      <c r="H54" s="1"/>
      <c r="I54" s="1"/>
      <c r="J54" s="1"/>
      <c r="K54" s="5"/>
      <c r="L54" s="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 t="s">
        <v>6</v>
      </c>
      <c r="B55" s="10" t="s">
        <v>67</v>
      </c>
      <c r="C55" s="10">
        <f>(25+60+25+25+30+415)/1000</f>
        <v>0.57999999999999996</v>
      </c>
      <c r="D55" s="10"/>
      <c r="E55" s="10">
        <f>(20+85+115+125)/1000</f>
        <v>0.34499999999999997</v>
      </c>
      <c r="F55" s="1"/>
      <c r="G55" s="1"/>
      <c r="H55" s="1"/>
      <c r="I55" s="1"/>
      <c r="J55" s="1"/>
      <c r="K55" s="5"/>
      <c r="L55" s="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 t="s">
        <v>61</v>
      </c>
      <c r="B56" s="10" t="s">
        <v>67</v>
      </c>
      <c r="C56" s="10">
        <f>(25+60+25+25+30+415)/1000</f>
        <v>0.57999999999999996</v>
      </c>
      <c r="D56" s="10"/>
      <c r="E56" s="10">
        <f>(20+85+115+125)/1000</f>
        <v>0.34499999999999997</v>
      </c>
      <c r="F56" s="1"/>
      <c r="G56" s="1"/>
      <c r="H56" s="1"/>
      <c r="I56" s="1"/>
      <c r="J56" s="1"/>
      <c r="K56" s="5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 t="s">
        <v>12</v>
      </c>
      <c r="B57" s="10" t="s">
        <v>67</v>
      </c>
      <c r="C57" s="10">
        <v>2.4950000000000001</v>
      </c>
      <c r="D57" s="10">
        <v>0.22</v>
      </c>
      <c r="E57" s="10"/>
      <c r="F57" s="1"/>
      <c r="G57" s="1"/>
      <c r="H57" s="1"/>
      <c r="I57" s="1"/>
      <c r="J57" s="1"/>
      <c r="K57" s="5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 t="s">
        <v>15</v>
      </c>
      <c r="B58" s="10" t="s">
        <v>67</v>
      </c>
      <c r="C58" s="10">
        <v>1.875</v>
      </c>
      <c r="D58" s="10">
        <v>0.22</v>
      </c>
      <c r="E58" s="10"/>
      <c r="F58" s="1"/>
      <c r="G58" s="1"/>
      <c r="H58" s="1"/>
      <c r="I58" s="1"/>
      <c r="J58" s="1"/>
      <c r="K58" s="6"/>
      <c r="L58" s="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 t="s">
        <v>62</v>
      </c>
      <c r="B59" s="10" t="s">
        <v>67</v>
      </c>
      <c r="C59" s="10">
        <f>(35+115+115+185+25+25+60+25)/1000+(35+115+115+185+30+50+40)/1000</f>
        <v>1.1549999999999998</v>
      </c>
      <c r="D59" s="10"/>
      <c r="E59" s="10"/>
      <c r="F59" s="1"/>
      <c r="G59" s="1"/>
      <c r="H59" s="1"/>
      <c r="I59" s="1"/>
      <c r="J59" s="1"/>
      <c r="K59" s="6"/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 t="s">
        <v>11</v>
      </c>
      <c r="B60" s="10" t="s">
        <v>67</v>
      </c>
      <c r="C60" s="10">
        <f>(35+115+115+185+25+25+60+25)/1000+(35+115+155+230+30+35)/1000</f>
        <v>1.1850000000000001</v>
      </c>
      <c r="D60" s="10"/>
      <c r="E60" s="10"/>
      <c r="F60" s="1"/>
      <c r="G60" s="1"/>
      <c r="H60" s="1"/>
      <c r="I60" s="1"/>
      <c r="J60" s="1"/>
      <c r="K60" s="6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 t="s">
        <v>63</v>
      </c>
      <c r="B61" s="10" t="s">
        <v>67</v>
      </c>
      <c r="C61" s="10">
        <f>(35+115+115+185+25+25+60+25)/1000</f>
        <v>0.58499999999999996</v>
      </c>
      <c r="D61" s="10"/>
      <c r="E61" s="10"/>
      <c r="F61" s="1"/>
      <c r="G61" s="1"/>
      <c r="H61" s="1"/>
      <c r="I61" s="1"/>
      <c r="J61" s="1"/>
      <c r="K61" s="4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 t="s">
        <v>14</v>
      </c>
      <c r="B62" s="10" t="s">
        <v>67</v>
      </c>
      <c r="C62" s="10">
        <f>(35+115+115+185+25+25+60+25)/1000</f>
        <v>0.58499999999999996</v>
      </c>
      <c r="D62" s="10"/>
      <c r="E62" s="10"/>
      <c r="F62" s="1"/>
      <c r="G62" s="1"/>
      <c r="H62" s="1"/>
      <c r="I62" s="1"/>
      <c r="J62" s="1"/>
      <c r="K62" s="4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 t="s">
        <v>64</v>
      </c>
      <c r="B63" s="10" t="s">
        <v>67</v>
      </c>
      <c r="C63" s="10">
        <f>(35+115+115+185+25+25+60+25)/1000</f>
        <v>0.58499999999999996</v>
      </c>
      <c r="D63" s="10"/>
      <c r="E63" s="10"/>
      <c r="F63" s="1"/>
      <c r="G63" s="1"/>
      <c r="H63" s="1"/>
      <c r="I63" s="1"/>
      <c r="J63" s="1"/>
      <c r="K63" s="4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 t="s">
        <v>9</v>
      </c>
      <c r="B64" s="10" t="s">
        <v>67</v>
      </c>
      <c r="C64" s="10">
        <f>(35+115+115+185+25+25+60+25)/1000</f>
        <v>0.58499999999999996</v>
      </c>
      <c r="D64" s="10"/>
      <c r="E64" s="10"/>
      <c r="F64" s="4"/>
      <c r="G64" s="4"/>
      <c r="H64" s="4"/>
      <c r="I64" s="4"/>
      <c r="J64" s="4"/>
      <c r="K64" s="4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 t="s">
        <v>10</v>
      </c>
      <c r="B65" s="10" t="s">
        <v>67</v>
      </c>
      <c r="C65" s="10">
        <f>(35+115+115+185+25+25+60+25)/1000</f>
        <v>0.58499999999999996</v>
      </c>
      <c r="D65" s="10"/>
      <c r="E65" s="10"/>
      <c r="F65" s="4"/>
      <c r="G65" s="4"/>
      <c r="H65" s="4"/>
      <c r="I65" s="4"/>
      <c r="J65" s="4"/>
      <c r="K65" s="4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4"/>
      <c r="G66" s="4"/>
      <c r="H66" s="4"/>
      <c r="I66" s="4"/>
      <c r="J66" s="4"/>
      <c r="K66" s="4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4"/>
      <c r="G67" s="4"/>
      <c r="H67" s="4"/>
      <c r="I67" s="4"/>
      <c r="J67" s="4"/>
      <c r="K67" s="4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4"/>
      <c r="G68" s="4"/>
      <c r="H68" s="4"/>
      <c r="I68" s="4"/>
      <c r="J68" s="4"/>
      <c r="K68" s="4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4"/>
      <c r="G69" s="4"/>
      <c r="H69" s="4"/>
      <c r="I69" s="4"/>
      <c r="J69" s="4"/>
      <c r="K69" s="4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4"/>
      <c r="G70" s="4"/>
      <c r="H70" s="4"/>
      <c r="I70" s="4"/>
      <c r="J70" s="4"/>
      <c r="K70" s="4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4"/>
      <c r="G71" s="4"/>
      <c r="H71" s="4"/>
      <c r="I71" s="4"/>
      <c r="J71" s="4"/>
      <c r="K71" s="4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4"/>
      <c r="G72" s="4"/>
      <c r="H72" s="4"/>
      <c r="I72" s="4"/>
      <c r="J72" s="4"/>
      <c r="K72" s="4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4"/>
      <c r="G73" s="4"/>
      <c r="H73" s="4"/>
      <c r="I73" s="4"/>
      <c r="J73" s="4"/>
      <c r="K73" s="4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4"/>
      <c r="G74" s="4"/>
      <c r="H74" s="4"/>
      <c r="I74" s="4"/>
      <c r="J74" s="4"/>
      <c r="K74" s="4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</row>
    <row r="76" spans="1:28">
      <c r="A76" s="1"/>
      <c r="B76" s="1"/>
      <c r="C76" s="1"/>
      <c r="D76" s="1"/>
      <c r="E76" s="1"/>
    </row>
    <row r="77" spans="1:28">
      <c r="A77" s="1"/>
      <c r="B77" s="1"/>
      <c r="C77" s="1"/>
      <c r="D77" s="1"/>
      <c r="E77" s="1"/>
    </row>
    <row r="78" spans="1:28">
      <c r="A78" s="1"/>
      <c r="B78" s="1"/>
      <c r="C78" s="1"/>
      <c r="D78" s="1"/>
      <c r="E78" s="1"/>
    </row>
    <row r="79" spans="1:28">
      <c r="A79" s="1"/>
      <c r="B79" s="1"/>
      <c r="C79" s="1"/>
      <c r="D79" s="1"/>
      <c r="E79" s="1"/>
    </row>
    <row r="80" spans="1:28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8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</sheetData>
  <conditionalFormatting sqref="A1">
    <cfRule type="duplicateValues" dxfId="3" priority="6"/>
  </conditionalFormatting>
  <conditionalFormatting sqref="A17">
    <cfRule type="duplicateValues" dxfId="2" priority="3"/>
  </conditionalFormatting>
  <conditionalFormatting sqref="A20">
    <cfRule type="duplicateValues" dxfId="1" priority="2"/>
  </conditionalFormatting>
  <conditionalFormatting sqref="A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2026-01-06T00:16:04Z</dcterms:created>
  <dcterms:modified xsi:type="dcterms:W3CDTF">2026-01-07T09:48:41Z</dcterms:modified>
</cp:coreProperties>
</file>