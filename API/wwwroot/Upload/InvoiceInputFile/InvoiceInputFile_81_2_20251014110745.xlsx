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1712D24-942A-4058-ABDE-EF86C8EA475B}" xr6:coauthVersionLast="45" xr6:coauthVersionMax="47" xr10:uidLastSave="{00000000-0000-0000-0000-000000000000}"/>
  <bookViews>
    <workbookView xWindow="-120" yWindow="-120" windowWidth="29040" windowHeight="15720" xr2:uid="{E1ADB90E-50C6-4051-9385-0767DC3C27D6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4" i="1"/>
  <c r="D3" i="1" l="1"/>
  <c r="D2" i="1"/>
</calcChain>
</file>

<file path=xl/sharedStrings.xml><?xml version="1.0" encoding="utf-8"?>
<sst xmlns="http://schemas.openxmlformats.org/spreadsheetml/2006/main" count="36" uniqueCount="29">
  <si>
    <t>PART NUMBER</t>
    <phoneticPr fontId="0" type="noConversion"/>
  </si>
  <si>
    <t>UNIT</t>
    <phoneticPr fontId="0" type="noConversion"/>
  </si>
  <si>
    <t>AMOUNT</t>
    <phoneticPr fontId="0" type="noConversion"/>
  </si>
  <si>
    <t>ORIGIN/MADE IN</t>
    <phoneticPr fontId="0" type="noConversion"/>
  </si>
  <si>
    <t>DESCRIPTION</t>
  </si>
  <si>
    <t>QUANTITY</t>
  </si>
  <si>
    <t>PRICE</t>
  </si>
  <si>
    <t>SNP</t>
  </si>
  <si>
    <r>
      <rPr>
        <sz val="6.5"/>
        <rFont val="Malgun Gothic"/>
        <family val="2"/>
      </rPr>
      <t>HVMC2P12FV-22</t>
    </r>
  </si>
  <si>
    <r>
      <rPr>
        <sz val="6.5"/>
        <rFont val="Malgun Gothic"/>
        <family val="2"/>
      </rPr>
      <t>P46-19380</t>
    </r>
  </si>
  <si>
    <r>
      <rPr>
        <sz val="6.5"/>
        <rFont val="Malgun Gothic"/>
        <family val="2"/>
      </rPr>
      <t>P46-1B230</t>
    </r>
  </si>
  <si>
    <r>
      <rPr>
        <sz val="6.5"/>
        <rFont val="Malgun Gothic"/>
        <family val="2"/>
      </rPr>
      <t>P47-1B200</t>
    </r>
  </si>
  <si>
    <r>
      <rPr>
        <sz val="6.5"/>
        <rFont val="Malgun Gothic"/>
        <family val="2"/>
      </rPr>
      <t>P47-1B210</t>
    </r>
  </si>
  <si>
    <r>
      <rPr>
        <sz val="6.5"/>
        <rFont val="Malgun Gothic"/>
        <family val="2"/>
      </rPr>
      <t>P47-1B230</t>
    </r>
  </si>
  <si>
    <r>
      <rPr>
        <sz val="6.5"/>
        <rFont val="Malgun Gothic"/>
        <family val="2"/>
      </rPr>
      <t>P48-12400</t>
    </r>
  </si>
  <si>
    <t>P46-12330</t>
  </si>
  <si>
    <r>
      <rPr>
        <sz val="6.5"/>
        <rFont val="Malgun Gothic"/>
        <family val="2"/>
      </rPr>
      <t>CONNECTOR</t>
    </r>
  </si>
  <si>
    <r>
      <rPr>
        <sz val="6.5"/>
        <rFont val="Malgun Gothic"/>
        <family val="2"/>
      </rPr>
      <t>RING TERMINAL</t>
    </r>
  </si>
  <si>
    <r>
      <rPr>
        <sz val="6.5"/>
        <rFont val="Malgun Gothic"/>
        <family val="2"/>
      </rPr>
      <t>INLET DC TML HOUSING</t>
    </r>
  </si>
  <si>
    <r>
      <rPr>
        <sz val="6.5"/>
        <rFont val="Malgun Gothic"/>
        <family val="2"/>
      </rPr>
      <t>M6 DOUBLE WASHER BOLT</t>
    </r>
  </si>
  <si>
    <r>
      <rPr>
        <sz val="6.5"/>
        <rFont val="Malgun Gothic"/>
        <family val="2"/>
      </rPr>
      <t>INLET 5P DC TML_MINUS_70SQ_BODY</t>
    </r>
  </si>
  <si>
    <r>
      <rPr>
        <sz val="6.5"/>
        <rFont val="Malgun Gothic"/>
        <family val="2"/>
      </rPr>
      <t>INLET 7P CP TML</t>
    </r>
  </si>
  <si>
    <r>
      <rPr>
        <sz val="6.5"/>
        <rFont val="Malgun Gothic"/>
        <family val="2"/>
      </rPr>
      <t>INLET 7P PP TML</t>
    </r>
  </si>
  <si>
    <r>
      <rPr>
        <sz val="6.5"/>
        <rFont val="Malgun Gothic"/>
        <family val="2"/>
      </rPr>
      <t>INLET 7P GND TML</t>
    </r>
  </si>
  <si>
    <r>
      <rPr>
        <sz val="6.5"/>
        <rFont val="Malgun Gothic"/>
        <family val="2"/>
      </rPr>
      <t>INLET PROTECTOR-CHARGING COVER</t>
    </r>
  </si>
  <si>
    <r>
      <rPr>
        <sz val="6.5"/>
        <rFont val="Malgun Gothic"/>
        <family val="2"/>
      </rPr>
      <t>CHINA</t>
    </r>
  </si>
  <si>
    <r>
      <rPr>
        <sz val="6.5"/>
        <rFont val="Malgun Gothic"/>
        <family val="2"/>
      </rPr>
      <t>KOREA</t>
    </r>
  </si>
  <si>
    <t>HVMC2P12FV170</t>
  </si>
  <si>
    <t>PART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</si>
</sst>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6.5"/>
      <name val="Malgun Gothic"/>
    </font>
    <font>
      <sz val="6.5"/>
      <name val="Malgun Gothic"/>
      <family val="2"/>
    </font>
    <font>
      <sz val="6.5"/>
      <color rgb="FF000000"/>
      <name val="Malgun Gothic"/>
      <family val="2"/>
    </font>
    <font>
      <sz val="7"/>
      <color rgb="FF000000"/>
      <name val="Malgun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3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right" vertical="top" shrinkToFit="1"/>
    </xf>
    <xf numFmtId="164" fontId="6" fillId="0" borderId="0" xfId="0" applyNumberFormat="1" applyFont="1" applyAlignment="1">
      <alignment horizontal="center" vertical="top" shrinkToFit="1"/>
    </xf>
    <xf numFmtId="4" fontId="5" fillId="0" borderId="0" xfId="0" applyNumberFormat="1" applyFont="1" applyAlignment="1">
      <alignment horizontal="center" vertical="top" shrinkToFit="1"/>
    </xf>
    <xf numFmtId="2" fontId="5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&#44592;&#50504;&#49436;_U100_11&#50900;_DJG2509-001_2025.09.18%20(DJC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Local\Temp\Zalo%20Temp\TempDownloads\&#49324;&#44553;&#48156;&#51452;&#45824;&#48708;%20&#48120;&#51077;&#44256;%20&#49688;&#47049;_JEM(25.09.1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8 (3)"/>
      <sheetName val="Nước rửa tay"/>
      <sheetName val="Sheet6"/>
      <sheetName val="Sheet5"/>
      <sheetName val="Sheet4 (3)"/>
      <sheetName val="기안서"/>
      <sheetName val="BOM"/>
      <sheetName val="BOM (2)"/>
      <sheetName val="DJC 발주"/>
      <sheetName val="사급자재 발주"/>
      <sheetName val="PO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F6" t="str">
            <v>S075-200-013A</v>
          </cell>
          <cell r="P6">
            <v>100</v>
          </cell>
        </row>
        <row r="7">
          <cell r="F7" t="str">
            <v>EP5F103N4-KP13-R</v>
          </cell>
          <cell r="P7">
            <v>500</v>
          </cell>
        </row>
        <row r="8">
          <cell r="F8" t="str">
            <v>EP5F103N4-KP13-L</v>
          </cell>
          <cell r="P8">
            <v>500</v>
          </cell>
        </row>
        <row r="9">
          <cell r="F9" t="str">
            <v>5T40mm325mm</v>
          </cell>
          <cell r="P9">
            <v>4000</v>
          </cell>
        </row>
        <row r="10">
          <cell r="F10" t="str">
            <v>FHLR91XC91X6O</v>
          </cell>
          <cell r="P10">
            <v>1500</v>
          </cell>
        </row>
        <row r="11">
          <cell r="F11" t="str">
            <v>CT19MMX2.5MBK</v>
          </cell>
          <cell r="P11">
            <v>15</v>
          </cell>
        </row>
        <row r="12">
          <cell r="F12" t="str">
            <v>FLRYWB05WY</v>
          </cell>
          <cell r="P12">
            <v>1000</v>
          </cell>
        </row>
        <row r="13">
          <cell r="F13" t="str">
            <v>FLRYWB05GY</v>
          </cell>
          <cell r="P13">
            <v>1000</v>
          </cell>
        </row>
        <row r="14">
          <cell r="F14" t="str">
            <v>FLRYWB05Br</v>
          </cell>
          <cell r="P14">
            <v>1000</v>
          </cell>
        </row>
        <row r="15">
          <cell r="F15" t="str">
            <v>FLRYWB05B</v>
          </cell>
          <cell r="P15">
            <v>1000</v>
          </cell>
        </row>
        <row r="16">
          <cell r="F16" t="str">
            <v>ST711022-3</v>
          </cell>
          <cell r="P16">
            <v>1000</v>
          </cell>
        </row>
        <row r="17">
          <cell r="F17" t="str">
            <v>MG642581-5</v>
          </cell>
          <cell r="P17">
            <v>100</v>
          </cell>
        </row>
        <row r="18">
          <cell r="F18" t="str">
            <v>FLRYWB05V</v>
          </cell>
          <cell r="P18">
            <v>1000</v>
          </cell>
        </row>
        <row r="19">
          <cell r="F19" t="str">
            <v>FLRYWB05YG</v>
          </cell>
          <cell r="P19">
            <v>1000</v>
          </cell>
        </row>
        <row r="20">
          <cell r="F20" t="str">
            <v>FHLR2GCB2G-C70OR</v>
          </cell>
          <cell r="P20">
            <v>300</v>
          </cell>
        </row>
        <row r="21">
          <cell r="F21" t="str">
            <v>AVSSSB05GW</v>
          </cell>
          <cell r="P21">
            <v>300</v>
          </cell>
        </row>
        <row r="22">
          <cell r="F22" t="str">
            <v>AT19MMX2.5MOR</v>
          </cell>
          <cell r="P22">
            <v>200</v>
          </cell>
        </row>
        <row r="23">
          <cell r="F23" t="str">
            <v>ST710965-3</v>
          </cell>
          <cell r="P23">
            <v>1000</v>
          </cell>
        </row>
        <row r="24">
          <cell r="F24" t="str">
            <v>C19OR</v>
          </cell>
          <cell r="P24">
            <v>200</v>
          </cell>
        </row>
        <row r="25">
          <cell r="F25" t="str">
            <v>SSA024050</v>
          </cell>
          <cell r="P25">
            <v>200</v>
          </cell>
        </row>
        <row r="26">
          <cell r="F26" t="str">
            <v>FLRYWB05R</v>
          </cell>
          <cell r="P26">
            <v>1000</v>
          </cell>
        </row>
        <row r="27">
          <cell r="F27" t="str">
            <v>963902-1</v>
          </cell>
          <cell r="P27">
            <v>10000</v>
          </cell>
        </row>
        <row r="28">
          <cell r="F28" t="str">
            <v>1-2304514-1</v>
          </cell>
          <cell r="P28">
            <v>1500</v>
          </cell>
        </row>
        <row r="29">
          <cell r="F29" t="str">
            <v>2138898-1</v>
          </cell>
          <cell r="P29">
            <v>1000</v>
          </cell>
        </row>
        <row r="30">
          <cell r="F30" t="str">
            <v>1897013-2</v>
          </cell>
          <cell r="P30">
            <v>80</v>
          </cell>
        </row>
        <row r="31">
          <cell r="F31" t="str">
            <v>S075-003-188-B</v>
          </cell>
          <cell r="P31">
            <v>1000</v>
          </cell>
        </row>
        <row r="32">
          <cell r="F32" t="str">
            <v>111-01747</v>
          </cell>
          <cell r="P32">
            <v>100</v>
          </cell>
        </row>
        <row r="33">
          <cell r="F33">
            <v>603841</v>
          </cell>
          <cell r="P33">
            <v>200</v>
          </cell>
        </row>
        <row r="34">
          <cell r="F34" t="str">
            <v>ST730623-3</v>
          </cell>
          <cell r="P34">
            <v>3600</v>
          </cell>
        </row>
        <row r="35">
          <cell r="F35" t="str">
            <v>828904-1</v>
          </cell>
          <cell r="P35">
            <v>5000</v>
          </cell>
        </row>
        <row r="36">
          <cell r="F36" t="str">
            <v>CL6405-0015-2</v>
          </cell>
          <cell r="P36">
            <v>3600</v>
          </cell>
        </row>
        <row r="37">
          <cell r="F37" t="str">
            <v>MG652582-5</v>
          </cell>
          <cell r="P37">
            <v>500</v>
          </cell>
        </row>
        <row r="38">
          <cell r="F38" t="str">
            <v>CL6426-0060-8</v>
          </cell>
          <cell r="P38">
            <v>1000</v>
          </cell>
        </row>
        <row r="39">
          <cell r="F39" t="str">
            <v>FLRYWB6B</v>
          </cell>
          <cell r="P39">
            <v>300</v>
          </cell>
        </row>
        <row r="40">
          <cell r="F40">
            <v>603840</v>
          </cell>
          <cell r="P40">
            <v>200</v>
          </cell>
        </row>
        <row r="41">
          <cell r="F41" t="str">
            <v>S075-200-011A</v>
          </cell>
          <cell r="P41">
            <v>100</v>
          </cell>
        </row>
        <row r="42">
          <cell r="F42" t="str">
            <v>1-962915-1</v>
          </cell>
          <cell r="P42">
            <v>3500</v>
          </cell>
        </row>
        <row r="43">
          <cell r="F43" t="str">
            <v>CL6405-0009-0</v>
          </cell>
          <cell r="P43">
            <v>100</v>
          </cell>
        </row>
        <row r="44">
          <cell r="F44" t="str">
            <v>MG645870-5</v>
          </cell>
          <cell r="P44">
            <v>250</v>
          </cell>
        </row>
        <row r="45">
          <cell r="F45" t="str">
            <v>CSPAD30MMX1.5M</v>
          </cell>
          <cell r="P45">
            <v>20000</v>
          </cell>
        </row>
        <row r="46">
          <cell r="F46" t="str">
            <v>C12OR</v>
          </cell>
          <cell r="P46">
            <v>500</v>
          </cell>
        </row>
        <row r="47">
          <cell r="F47" t="str">
            <v>FLRYA05G</v>
          </cell>
          <cell r="P47">
            <v>1000</v>
          </cell>
        </row>
        <row r="48">
          <cell r="F48" t="str">
            <v>ST710966-3</v>
          </cell>
          <cell r="P48">
            <v>1000</v>
          </cell>
        </row>
        <row r="49">
          <cell r="F49" t="str">
            <v>FLRYWB05W</v>
          </cell>
          <cell r="P49">
            <v>1000</v>
          </cell>
        </row>
        <row r="50">
          <cell r="F50" t="str">
            <v>MG655817-5</v>
          </cell>
          <cell r="P50">
            <v>250</v>
          </cell>
        </row>
        <row r="51">
          <cell r="F51" t="str">
            <v>1670146-1</v>
          </cell>
          <cell r="P51">
            <v>6500</v>
          </cell>
        </row>
        <row r="52">
          <cell r="F52" t="str">
            <v>ST760320-1</v>
          </cell>
          <cell r="P52">
            <v>12500</v>
          </cell>
        </row>
        <row r="53">
          <cell r="F53" t="str">
            <v>964971-1</v>
          </cell>
          <cell r="P53">
            <v>10000</v>
          </cell>
        </row>
        <row r="54">
          <cell r="F54" t="str">
            <v>ST731368-3</v>
          </cell>
          <cell r="P54">
            <v>3000</v>
          </cell>
        </row>
        <row r="55">
          <cell r="F55" t="str">
            <v>MG681114</v>
          </cell>
          <cell r="P55">
            <v>1000</v>
          </cell>
        </row>
        <row r="56">
          <cell r="F56" t="str">
            <v>SSA009050</v>
          </cell>
          <cell r="P56">
            <v>1000</v>
          </cell>
        </row>
        <row r="57">
          <cell r="F57" t="str">
            <v>SSA009030</v>
          </cell>
          <cell r="P57">
            <v>1000</v>
          </cell>
        </row>
        <row r="58">
          <cell r="F58" t="str">
            <v>963531-1</v>
          </cell>
          <cell r="P58">
            <v>10000</v>
          </cell>
        </row>
        <row r="59">
          <cell r="F59" t="str">
            <v>828922-1</v>
          </cell>
          <cell r="P59">
            <v>5000</v>
          </cell>
        </row>
        <row r="60">
          <cell r="F60" t="str">
            <v>SSA006030</v>
          </cell>
          <cell r="P60">
            <v>2000</v>
          </cell>
        </row>
        <row r="61">
          <cell r="F61" t="str">
            <v>CL6405-0010-9</v>
          </cell>
          <cell r="P61">
            <v>1000</v>
          </cell>
        </row>
        <row r="62">
          <cell r="F62" t="str">
            <v>CL6426-0062-3</v>
          </cell>
          <cell r="P62">
            <v>1000</v>
          </cell>
        </row>
        <row r="63">
          <cell r="F63" t="str">
            <v>MG681159</v>
          </cell>
          <cell r="P63">
            <v>1000</v>
          </cell>
        </row>
        <row r="64">
          <cell r="F64" t="str">
            <v>MG632589-3</v>
          </cell>
          <cell r="P64">
            <v>500</v>
          </cell>
        </row>
        <row r="65">
          <cell r="F65" t="str">
            <v>GB110-06020</v>
          </cell>
          <cell r="P65">
            <v>400</v>
          </cell>
        </row>
        <row r="66">
          <cell r="F66" t="str">
            <v>MG685390</v>
          </cell>
          <cell r="P66">
            <v>1000</v>
          </cell>
        </row>
        <row r="67">
          <cell r="F67" t="str">
            <v>ST760149-1</v>
          </cell>
          <cell r="P67">
            <v>10000</v>
          </cell>
        </row>
        <row r="68">
          <cell r="F68" t="str">
            <v>AT19MMX2.5MBK</v>
          </cell>
          <cell r="P68">
            <v>100</v>
          </cell>
        </row>
        <row r="69">
          <cell r="F69" t="str">
            <v>CT19MMX2.5MOR</v>
          </cell>
          <cell r="P69">
            <v>15</v>
          </cell>
        </row>
        <row r="70">
          <cell r="F70" t="str">
            <v>HSG018030</v>
          </cell>
          <cell r="P70">
            <v>2000</v>
          </cell>
        </row>
        <row r="71">
          <cell r="F71" t="str">
            <v>111-85871</v>
          </cell>
          <cell r="P71">
            <v>500</v>
          </cell>
        </row>
        <row r="72">
          <cell r="F72" t="str">
            <v>EVH2D3-N2TK-TDGA-01</v>
          </cell>
          <cell r="P72">
            <v>32</v>
          </cell>
        </row>
        <row r="73">
          <cell r="F73" t="str">
            <v>657119446-01</v>
          </cell>
          <cell r="P73">
            <v>1500</v>
          </cell>
        </row>
        <row r="74">
          <cell r="F74" t="str">
            <v>HVMC2P12FV170</v>
          </cell>
          <cell r="P74">
            <v>32</v>
          </cell>
        </row>
        <row r="75">
          <cell r="F75" t="str">
            <v>21E6-571-14354-B1</v>
          </cell>
          <cell r="P75">
            <v>1500</v>
          </cell>
        </row>
        <row r="76">
          <cell r="F76" t="str">
            <v>EVH2-N4TK-TDA-01</v>
          </cell>
          <cell r="P76">
            <v>28</v>
          </cell>
        </row>
        <row r="77">
          <cell r="F77" t="str">
            <v>HVMC2P12FV-22</v>
          </cell>
          <cell r="P77">
            <v>100</v>
          </cell>
        </row>
        <row r="78">
          <cell r="F78" t="str">
            <v>P47-1B220</v>
          </cell>
        </row>
        <row r="79">
          <cell r="F79" t="str">
            <v>P47-1B230</v>
          </cell>
        </row>
        <row r="80">
          <cell r="F80" t="str">
            <v>P47-15240</v>
          </cell>
        </row>
        <row r="81">
          <cell r="F81" t="str">
            <v>P46-15200</v>
          </cell>
        </row>
        <row r="82">
          <cell r="F82" t="str">
            <v>P46-19380</v>
          </cell>
        </row>
        <row r="83">
          <cell r="F83" t="str">
            <v>P46-15250</v>
          </cell>
        </row>
        <row r="84">
          <cell r="F84" t="str">
            <v>P46-12410</v>
          </cell>
        </row>
        <row r="85">
          <cell r="F85" t="str">
            <v>P46-12330</v>
          </cell>
        </row>
        <row r="86">
          <cell r="F86" t="str">
            <v>P46-15270</v>
          </cell>
        </row>
        <row r="87">
          <cell r="F87" t="str">
            <v>P46-12480</v>
          </cell>
        </row>
        <row r="88">
          <cell r="F88" t="str">
            <v>P46-12490</v>
          </cell>
        </row>
        <row r="89">
          <cell r="F89" t="str">
            <v>P48-12100</v>
          </cell>
        </row>
        <row r="90">
          <cell r="F90" t="str">
            <v>P48-12400</v>
          </cell>
        </row>
        <row r="91">
          <cell r="F91" t="str">
            <v>P47-12430</v>
          </cell>
        </row>
        <row r="92">
          <cell r="F92" t="str">
            <v>P47-1B200</v>
          </cell>
        </row>
        <row r="93">
          <cell r="F93" t="str">
            <v>P47-1B210</v>
          </cell>
        </row>
        <row r="94">
          <cell r="F94" t="str">
            <v>P47-1B240</v>
          </cell>
        </row>
        <row r="95">
          <cell r="F95" t="str">
            <v>P47-1B250</v>
          </cell>
        </row>
        <row r="96">
          <cell r="F96" t="str">
            <v>P46-1B200</v>
          </cell>
        </row>
        <row r="97">
          <cell r="F97" t="str">
            <v>P46-12430</v>
          </cell>
        </row>
        <row r="98">
          <cell r="F98" t="str">
            <v>P46-1B210</v>
          </cell>
        </row>
        <row r="99">
          <cell r="F99" t="str">
            <v>P46-12440</v>
          </cell>
        </row>
        <row r="100">
          <cell r="F100" t="str">
            <v>P46-1B220</v>
          </cell>
        </row>
        <row r="101">
          <cell r="F101" t="str">
            <v>P46-15210</v>
          </cell>
        </row>
        <row r="102">
          <cell r="F102" t="str">
            <v>P46-12310</v>
          </cell>
        </row>
        <row r="103">
          <cell r="F103" t="str">
            <v>P46-12320</v>
          </cell>
        </row>
        <row r="104">
          <cell r="F104" t="str">
            <v>P46-15220</v>
          </cell>
        </row>
        <row r="105">
          <cell r="F105" t="str">
            <v>P46-15230</v>
          </cell>
        </row>
        <row r="106">
          <cell r="F106" t="str">
            <v>P46-1B230</v>
          </cell>
        </row>
        <row r="107">
          <cell r="F107" t="str">
            <v>P46-12450</v>
          </cell>
        </row>
        <row r="108">
          <cell r="F108" t="str">
            <v>P46-1B240</v>
          </cell>
        </row>
        <row r="109">
          <cell r="F109" t="str">
            <v>P46-15240</v>
          </cell>
        </row>
        <row r="110">
          <cell r="F110" t="str">
            <v>P46-15260</v>
          </cell>
        </row>
        <row r="111">
          <cell r="F111" t="str">
            <v>P47-12320</v>
          </cell>
        </row>
        <row r="112">
          <cell r="F112" t="str">
            <v>P47-12330</v>
          </cell>
        </row>
        <row r="113">
          <cell r="F113" t="str">
            <v>P47-12340</v>
          </cell>
        </row>
        <row r="114">
          <cell r="F114" t="str">
            <v>P47-15220</v>
          </cell>
        </row>
        <row r="115">
          <cell r="F115" t="str">
            <v>P47-15230</v>
          </cell>
        </row>
        <row r="116">
          <cell r="F116" t="str">
            <v>P47-12440</v>
          </cell>
        </row>
        <row r="117">
          <cell r="F117" t="str">
            <v>P49-12100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급발주대비 미입고 수량_추가"/>
      <sheetName val="사급발주대비 미입고 수량 (Inv-Act) 2024"/>
      <sheetName val="WORK LINE"/>
      <sheetName val="MOQ"/>
      <sheetName val="Sheet1"/>
      <sheetName val="Sheet2"/>
    </sheetNames>
    <sheetDataSet>
      <sheetData sheetId="0"/>
      <sheetData sheetId="1"/>
      <sheetData sheetId="2"/>
      <sheetData sheetId="3">
        <row r="1">
          <cell r="G1" t="str">
            <v>P/No.</v>
          </cell>
          <cell r="I1" t="str">
            <v>MOQ</v>
          </cell>
        </row>
        <row r="2">
          <cell r="G2" t="str">
            <v>P46-1B220</v>
          </cell>
          <cell r="I2">
            <v>1200</v>
          </cell>
        </row>
        <row r="3">
          <cell r="G3" t="str">
            <v>P46-1B200</v>
          </cell>
          <cell r="I3">
            <v>1200</v>
          </cell>
        </row>
        <row r="4">
          <cell r="G4" t="str">
            <v>P46-12430</v>
          </cell>
          <cell r="I4">
            <v>6000</v>
          </cell>
        </row>
        <row r="5">
          <cell r="G5" t="str">
            <v>P46-1B210</v>
          </cell>
          <cell r="I5">
            <v>1200</v>
          </cell>
        </row>
        <row r="6">
          <cell r="G6" t="str">
            <v>P46-12440</v>
          </cell>
          <cell r="I6">
            <v>3000</v>
          </cell>
        </row>
        <row r="7">
          <cell r="G7" t="str">
            <v>P46-15200</v>
          </cell>
          <cell r="I7">
            <v>24000</v>
          </cell>
        </row>
        <row r="8">
          <cell r="G8" t="str">
            <v>P46-15210</v>
          </cell>
          <cell r="I8">
            <v>15000</v>
          </cell>
        </row>
        <row r="9">
          <cell r="G9" t="str">
            <v>P46-12310</v>
          </cell>
          <cell r="I9">
            <v>3000</v>
          </cell>
        </row>
        <row r="10">
          <cell r="G10" t="str">
            <v>P46-12320</v>
          </cell>
          <cell r="I10">
            <v>3000</v>
          </cell>
        </row>
        <row r="11">
          <cell r="G11" t="str">
            <v>P46-15220</v>
          </cell>
          <cell r="I11">
            <v>5000</v>
          </cell>
        </row>
        <row r="12">
          <cell r="G12" t="str">
            <v>P46-15230</v>
          </cell>
          <cell r="I12">
            <v>5000</v>
          </cell>
        </row>
        <row r="13">
          <cell r="G13" t="str">
            <v>P46-1B230</v>
          </cell>
          <cell r="I13">
            <v>150</v>
          </cell>
        </row>
        <row r="14">
          <cell r="G14" t="str">
            <v>P46-12450</v>
          </cell>
          <cell r="I14">
            <v>6000</v>
          </cell>
        </row>
        <row r="15">
          <cell r="G15" t="str">
            <v>P46-1B240</v>
          </cell>
          <cell r="I15">
            <v>120</v>
          </cell>
        </row>
        <row r="16">
          <cell r="G16" t="str">
            <v>P46-15240</v>
          </cell>
          <cell r="I16">
            <v>15000</v>
          </cell>
        </row>
        <row r="17">
          <cell r="G17" t="str">
            <v>P46-19380</v>
          </cell>
          <cell r="I17">
            <v>2500</v>
          </cell>
        </row>
        <row r="18">
          <cell r="G18" t="str">
            <v>P46-15250</v>
          </cell>
          <cell r="I18">
            <v>5000</v>
          </cell>
        </row>
        <row r="19">
          <cell r="G19" t="str">
            <v>P46-12410</v>
          </cell>
          <cell r="I19">
            <v>3600</v>
          </cell>
        </row>
        <row r="20">
          <cell r="G20" t="str">
            <v>P46-12330</v>
          </cell>
          <cell r="I20">
            <v>100</v>
          </cell>
        </row>
        <row r="21">
          <cell r="G21" t="str">
            <v>P46-15260</v>
          </cell>
          <cell r="I21">
            <v>15000</v>
          </cell>
        </row>
        <row r="22">
          <cell r="G22" t="str">
            <v>P46-15270</v>
          </cell>
          <cell r="I22">
            <v>5000</v>
          </cell>
        </row>
        <row r="23">
          <cell r="G23" t="str">
            <v>P46-12480</v>
          </cell>
          <cell r="I23">
            <v>1200</v>
          </cell>
        </row>
        <row r="24">
          <cell r="G24" t="str">
            <v>P46-12490</v>
          </cell>
          <cell r="I24">
            <v>1200</v>
          </cell>
        </row>
        <row r="25">
          <cell r="G25" t="str">
            <v>P48-12100</v>
          </cell>
          <cell r="I25">
            <v>20</v>
          </cell>
        </row>
        <row r="26">
          <cell r="G26" t="str">
            <v>P48-12400</v>
          </cell>
          <cell r="I26">
            <v>120</v>
          </cell>
        </row>
        <row r="27">
          <cell r="G27" t="str">
            <v>P47-1B220</v>
          </cell>
          <cell r="I27">
            <v>600</v>
          </cell>
        </row>
        <row r="28">
          <cell r="G28" t="str">
            <v>P47-12430</v>
          </cell>
          <cell r="I28">
            <v>12000</v>
          </cell>
        </row>
        <row r="29">
          <cell r="G29" t="str">
            <v>P47-1B200</v>
          </cell>
          <cell r="I29">
            <v>1200</v>
          </cell>
        </row>
        <row r="30">
          <cell r="G30" t="str">
            <v>P47-1B210</v>
          </cell>
          <cell r="I30">
            <v>1200</v>
          </cell>
        </row>
        <row r="31">
          <cell r="G31" t="str">
            <v>P47-1B230</v>
          </cell>
          <cell r="I31">
            <v>1200</v>
          </cell>
        </row>
        <row r="32">
          <cell r="G32" t="str">
            <v>P47-12320</v>
          </cell>
          <cell r="I32">
            <v>3000</v>
          </cell>
        </row>
        <row r="33">
          <cell r="G33" t="str">
            <v>P47-12330</v>
          </cell>
          <cell r="I33">
            <v>3000</v>
          </cell>
        </row>
        <row r="34">
          <cell r="G34" t="str">
            <v>P47-12340</v>
          </cell>
          <cell r="I34">
            <v>3000</v>
          </cell>
        </row>
        <row r="35">
          <cell r="G35" t="str">
            <v>P47-15220</v>
          </cell>
          <cell r="I35">
            <v>5000</v>
          </cell>
        </row>
        <row r="36">
          <cell r="G36" t="str">
            <v>P47-15230</v>
          </cell>
          <cell r="I36">
            <v>5000</v>
          </cell>
        </row>
        <row r="37">
          <cell r="G37" t="str">
            <v>P47-15240</v>
          </cell>
          <cell r="I37">
            <v>5000</v>
          </cell>
        </row>
        <row r="38">
          <cell r="G38" t="str">
            <v>P47-1B240</v>
          </cell>
          <cell r="I38">
            <v>150</v>
          </cell>
        </row>
        <row r="39">
          <cell r="G39" t="str">
            <v>P47-12440</v>
          </cell>
          <cell r="I39">
            <v>6000</v>
          </cell>
        </row>
        <row r="40">
          <cell r="G40" t="str">
            <v>P47-1B250</v>
          </cell>
          <cell r="I40">
            <v>120</v>
          </cell>
        </row>
        <row r="41">
          <cell r="G41" t="str">
            <v>P49-12100</v>
          </cell>
          <cell r="I41">
            <v>600</v>
          </cell>
        </row>
        <row r="42">
          <cell r="G42" t="str">
            <v>EVH2D3-N2TK-TDGA-01</v>
          </cell>
          <cell r="I42">
            <v>128</v>
          </cell>
        </row>
        <row r="43">
          <cell r="G43" t="str">
            <v>657119446-01</v>
          </cell>
          <cell r="I43">
            <v>1500</v>
          </cell>
        </row>
        <row r="44">
          <cell r="G44" t="str">
            <v>HVMC2P12FV170</v>
          </cell>
          <cell r="I44">
            <v>32</v>
          </cell>
        </row>
        <row r="45">
          <cell r="G45" t="str">
            <v>21E6-571-14354-B1</v>
          </cell>
          <cell r="I45">
            <v>1500</v>
          </cell>
        </row>
        <row r="46">
          <cell r="G46" t="str">
            <v>HVMC2P12FV-22</v>
          </cell>
          <cell r="I46">
            <v>4000</v>
          </cell>
        </row>
        <row r="47">
          <cell r="G47" t="str">
            <v>EVH2-N4TK-TDA-01</v>
          </cell>
          <cell r="I47">
            <v>128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10"/>
  <sheetViews>
    <sheetView tabSelected="1" workbookViewId="0">
      <selection activeCell="I13" sqref="I13"/>
    </sheetView>
  </sheetViews>
  <sheetFormatPr defaultRowHeight="15" x14ac:dyDescent="0.2"/>
  <cols>
    <col min="1" max="9" width="20.7109375" style="1" customWidth="1"/>
    <col min="10" max="16384" width="9.140625" style="1"/>
  </cols>
  <sheetData>
    <row r="1" spans="1:9" ht="15.75" x14ac:dyDescent="0.2">
      <c r="A1" s="2" t="s">
        <v>28</v>
      </c>
      <c r="B1" s="2" t="s">
        <v>0</v>
      </c>
      <c r="C1" s="2" t="s">
        <v>4</v>
      </c>
      <c r="D1" s="2" t="s">
        <v>7</v>
      </c>
      <c r="E1" s="2" t="s">
        <v>5</v>
      </c>
      <c r="F1" s="2" t="s">
        <v>1</v>
      </c>
      <c r="G1" s="2" t="s">
        <v>6</v>
      </c>
      <c r="H1" s="2" t="s">
        <v>2</v>
      </c>
      <c r="I1" s="3" t="s">
        <v>3</v>
      </c>
    </row>
    <row r="2" spans="1:9" x14ac:dyDescent="0.2">
      <c r="A2" s="11" t="s">
        <v>16</v>
      </c>
      <c r="B2" s="10" t="s">
        <v>27</v>
      </c>
      <c r="D2" s="1">
        <f>SUMIF([1]BOM!$F$6:$F$117,B2,[1]BOM!$P$6:$P$117)</f>
        <v>32</v>
      </c>
      <c r="E2" s="5">
        <v>1600</v>
      </c>
      <c r="G2" s="7">
        <v>46.0687</v>
      </c>
      <c r="H2" s="8">
        <v>73709.919999999998</v>
      </c>
      <c r="I2" s="12" t="s">
        <v>25</v>
      </c>
    </row>
    <row r="3" spans="1:9" x14ac:dyDescent="0.2">
      <c r="A3" s="11" t="s">
        <v>17</v>
      </c>
      <c r="B3" s="4" t="s">
        <v>8</v>
      </c>
      <c r="D3" s="1">
        <f>SUMIF([1]BOM!$F$6:$F$117,B3,[1]BOM!$P$6:$P$117)</f>
        <v>100</v>
      </c>
      <c r="E3" s="5">
        <v>3200</v>
      </c>
      <c r="G3" s="7">
        <v>2.8153999999999999</v>
      </c>
      <c r="H3" s="8">
        <v>9009.2800000000007</v>
      </c>
      <c r="I3" s="12" t="s">
        <v>25</v>
      </c>
    </row>
    <row r="4" spans="1:9" x14ac:dyDescent="0.2">
      <c r="A4" s="11" t="s">
        <v>18</v>
      </c>
      <c r="B4" s="10" t="s">
        <v>15</v>
      </c>
      <c r="D4" s="1">
        <f>SUMIF([2]MOQ!$G:$G,B4,[2]MOQ!$I:$I)</f>
        <v>100</v>
      </c>
      <c r="E4" s="5">
        <v>2000</v>
      </c>
      <c r="G4" s="7">
        <v>1.4309000000000001</v>
      </c>
      <c r="H4" s="8">
        <v>2861.8</v>
      </c>
      <c r="I4" s="12" t="s">
        <v>26</v>
      </c>
    </row>
    <row r="5" spans="1:9" x14ac:dyDescent="0.2">
      <c r="A5" s="11" t="s">
        <v>19</v>
      </c>
      <c r="B5" s="4" t="s">
        <v>9</v>
      </c>
      <c r="D5" s="1">
        <f>SUMIF([2]MOQ!$G:$G,B5,[2]MOQ!$I:$I)</f>
        <v>2500</v>
      </c>
      <c r="E5" s="5">
        <v>5000</v>
      </c>
      <c r="G5" s="7">
        <v>5.57E-2</v>
      </c>
      <c r="H5" s="9">
        <v>278.5</v>
      </c>
      <c r="I5" s="12" t="s">
        <v>26</v>
      </c>
    </row>
    <row r="6" spans="1:9" ht="18" x14ac:dyDescent="0.2">
      <c r="A6" s="11" t="s">
        <v>20</v>
      </c>
      <c r="B6" s="4" t="s">
        <v>10</v>
      </c>
      <c r="D6" s="1">
        <f>SUMIF([2]MOQ!$G:$G,B6,[2]MOQ!$I:$I)</f>
        <v>150</v>
      </c>
      <c r="E6" s="6">
        <v>750</v>
      </c>
      <c r="G6" s="7">
        <v>4.2266000000000004</v>
      </c>
      <c r="H6" s="8">
        <v>3169.95</v>
      </c>
      <c r="I6" s="12" t="s">
        <v>26</v>
      </c>
    </row>
    <row r="7" spans="1:9" x14ac:dyDescent="0.2">
      <c r="A7" s="11" t="s">
        <v>21</v>
      </c>
      <c r="B7" s="4" t="s">
        <v>11</v>
      </c>
      <c r="D7" s="1">
        <f>SUMIF([2]MOQ!$G:$G,B7,[2]MOQ!$I:$I)</f>
        <v>1200</v>
      </c>
      <c r="E7" s="5">
        <v>2400</v>
      </c>
      <c r="G7" s="7">
        <v>0.81679999999999997</v>
      </c>
      <c r="H7" s="8">
        <v>1960.32</v>
      </c>
      <c r="I7" s="12" t="s">
        <v>26</v>
      </c>
    </row>
    <row r="8" spans="1:9" x14ac:dyDescent="0.2">
      <c r="A8" s="11" t="s">
        <v>22</v>
      </c>
      <c r="B8" s="4" t="s">
        <v>12</v>
      </c>
      <c r="D8" s="1">
        <f>SUMIF([2]MOQ!$G:$G,B8,[2]MOQ!$I:$I)</f>
        <v>1200</v>
      </c>
      <c r="E8" s="5">
        <v>1200</v>
      </c>
      <c r="G8" s="7">
        <v>0.64580000000000004</v>
      </c>
      <c r="H8" s="9">
        <v>774.96</v>
      </c>
      <c r="I8" s="12" t="s">
        <v>26</v>
      </c>
    </row>
    <row r="9" spans="1:9" x14ac:dyDescent="0.2">
      <c r="A9" s="11" t="s">
        <v>23</v>
      </c>
      <c r="B9" s="4" t="s">
        <v>13</v>
      </c>
      <c r="D9" s="1">
        <f>SUMIF([2]MOQ!$G:$G,B9,[2]MOQ!$I:$I)</f>
        <v>1200</v>
      </c>
      <c r="E9" s="5">
        <v>2400</v>
      </c>
      <c r="G9" s="7">
        <v>1.2376</v>
      </c>
      <c r="H9" s="8">
        <v>2970.24</v>
      </c>
      <c r="I9" s="12" t="s">
        <v>26</v>
      </c>
    </row>
    <row r="10" spans="1:9" ht="18" x14ac:dyDescent="0.2">
      <c r="A10" s="11" t="s">
        <v>24</v>
      </c>
      <c r="B10" s="4" t="s">
        <v>14</v>
      </c>
      <c r="D10" s="1">
        <f>SUMIF([2]MOQ!$G:$G,B10,[2]MOQ!$I:$I)</f>
        <v>120</v>
      </c>
      <c r="E10" s="5">
        <v>2380</v>
      </c>
      <c r="G10" s="7">
        <v>0.57430000000000003</v>
      </c>
      <c r="H10" s="8">
        <v>1366.83</v>
      </c>
      <c r="I10" s="1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</cp:lastModifiedBy>
  <dcterms:created xsi:type="dcterms:W3CDTF">2025-09-29T01:35:52Z</dcterms:created>
  <dcterms:modified xsi:type="dcterms:W3CDTF">2025-10-14T02:30:11Z</dcterms:modified>
</cp:coreProperties>
</file>