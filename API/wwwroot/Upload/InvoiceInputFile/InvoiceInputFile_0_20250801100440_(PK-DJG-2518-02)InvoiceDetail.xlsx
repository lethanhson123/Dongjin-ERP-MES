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92\phong Logistics\public\1. IMPORT\2025\1. PACKARD\05. MAY\PK-DJG-2518-02\"/>
    </mc:Choice>
  </mc:AlternateContent>
  <xr:revisionPtr revIDLastSave="0" documentId="13_ncr:1_{96CFBBC4-66F2-4AB9-8FA2-FCC83C4FCB32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(PK-DJG-2518-02)InvoiceDetail" sheetId="1" r:id="rId1"/>
    <sheet name="E21" sheetId="2" r:id="rId2"/>
    <sheet name="G13" sheetId="3" r:id="rId3"/>
  </sheets>
  <definedNames>
    <definedName name="_xlnm._FilterDatabase" localSheetId="0" hidden="1">'(PK-DJG-2518-02)InvoiceDetail'!$A$1:$H$62</definedName>
    <definedName name="_xlnm._FilterDatabase" localSheetId="1" hidden="1">'E21'!$A$1:$H$60</definedName>
    <definedName name="_xlnm._FilterDatabase" localSheetId="2" hidden="1">'G13'!$A$1:$H$4</definedName>
  </definedNames>
  <calcPr calcId="191029"/>
</workbook>
</file>

<file path=xl/calcChain.xml><?xml version="1.0" encoding="utf-8"?>
<calcChain xmlns="http://schemas.openxmlformats.org/spreadsheetml/2006/main">
  <c r="E4" i="3" l="1"/>
  <c r="G4" i="3"/>
  <c r="E60" i="2"/>
  <c r="G60" i="2"/>
</calcChain>
</file>

<file path=xl/sharedStrings.xml><?xml version="1.0" encoding="utf-8"?>
<sst xmlns="http://schemas.openxmlformats.org/spreadsheetml/2006/main" count="507" uniqueCount="139">
  <si>
    <t>NO</t>
  </si>
  <si>
    <t>PART NO</t>
  </si>
  <si>
    <t>UNIT</t>
  </si>
  <si>
    <t>GOODS DESCRIPTION</t>
  </si>
  <si>
    <t>QUANTITY</t>
  </si>
  <si>
    <t>U/PRICE</t>
  </si>
  <si>
    <t>AMOUNT</t>
  </si>
  <si>
    <t>PC</t>
  </si>
  <si>
    <t>[MULTY] M SWP   2-WAY CONNECTOR</t>
  </si>
  <si>
    <t>[MULTY] F   12-WAY CONNECTOR</t>
  </si>
  <si>
    <t>[MULTY] F CDR   7-WAY CONNECTOR</t>
  </si>
  <si>
    <t>8A2067</t>
  </si>
  <si>
    <t>RL</t>
  </si>
  <si>
    <t>[면 TAPE -  STICKY NALLOW] TAPE_PET_T4_19*25_L</t>
  </si>
  <si>
    <t>8A3000</t>
  </si>
  <si>
    <t>[내열 TAPE] TAPE_PET_T4_25*25_B</t>
  </si>
  <si>
    <t>8A4258</t>
  </si>
  <si>
    <t>MT</t>
  </si>
  <si>
    <t>[CONDUIT TUBE(일반,배갈라진 형태)] CONDUIT TUBE(T4) D06</t>
  </si>
  <si>
    <t>8A5091</t>
  </si>
  <si>
    <t>[PVC TUBE (일반,배안갈라진 형태)] TWISTUB-13</t>
  </si>
  <si>
    <t>8A5096</t>
  </si>
  <si>
    <t>[PVC TUBE (일반,배안갈라진 형태)] TWISTUB-32</t>
  </si>
  <si>
    <t>8A5159</t>
  </si>
  <si>
    <t>[CONDUIT TUBE(통TUBE,배안갈라진 형태)] SD-430-CBB-AL10_T2G</t>
  </si>
  <si>
    <t>8A5166</t>
  </si>
  <si>
    <t>[CONDUIT TUBE(통TUBE,배안갈라진 형태)] SD-430-CBB-AL13_T2G</t>
  </si>
  <si>
    <t>8A7282</t>
  </si>
  <si>
    <t>[PROTECTOR 1 - 간단] DUCT_COVER_242963390R</t>
  </si>
  <si>
    <t>8A7283</t>
  </si>
  <si>
    <t>[PROTECTOR 1 - 간단] DUCT_BODY_242963390R</t>
  </si>
  <si>
    <t>8A7285</t>
  </si>
  <si>
    <t>[PROTECTOR 3 - 복잡] PROTECTOR BODY</t>
  </si>
  <si>
    <t>8A7307</t>
  </si>
  <si>
    <t>[PROTECTOR 3 - 복잡] CHANNEL_242967472R</t>
  </si>
  <si>
    <t>8A7360</t>
  </si>
  <si>
    <t>[PROTECTOR 3 - 복잡] L-Manifold 19-19</t>
  </si>
  <si>
    <t>8a7385</t>
  </si>
  <si>
    <t>[PROTECTOR 2 - 일반] D24/D34 Protector Cover</t>
  </si>
  <si>
    <t>8A7546</t>
  </si>
  <si>
    <t>[PROTECTOR 2 - 일반] Engine Tray Channel Body</t>
  </si>
  <si>
    <t>8A7603</t>
  </si>
  <si>
    <t>[PROTECTOR 2 - 일반] AOC CABLE CHANNEL</t>
  </si>
  <si>
    <t>8C0077</t>
  </si>
  <si>
    <t>[MULTY] M HDP 18-WAY CONN</t>
  </si>
  <si>
    <t>8C0222</t>
  </si>
  <si>
    <t>[MULTY] M 2-WAY CONNECTOR</t>
  </si>
  <si>
    <t>8C0409</t>
  </si>
  <si>
    <t>[MULTY] M 4-WAY CONNECTOR</t>
  </si>
  <si>
    <t>8C2274</t>
  </si>
  <si>
    <t>[MULTY - HINGE TYPE] F  2WAY CONNECTOR 120</t>
  </si>
  <si>
    <t>8C2420</t>
  </si>
  <si>
    <t>[MULTY] F 4-WAY CONNECTOR</t>
  </si>
  <si>
    <t>8C3007</t>
  </si>
  <si>
    <t>[복잡] CONN COVER_243402634R</t>
  </si>
  <si>
    <t>8C3067</t>
  </si>
  <si>
    <t>[MULTY - HINGE TYPE] 96F ECU CONNECTOR</t>
  </si>
  <si>
    <t>8C3070</t>
  </si>
  <si>
    <t>[MULTY] 18F CONNECTOR</t>
  </si>
  <si>
    <t>8C3102</t>
  </si>
  <si>
    <t>[MULTY - HINGE TYPE] 105F CONNECTOR</t>
  </si>
  <si>
    <t>8C4814</t>
  </si>
  <si>
    <t>[MULTY - HINGE TYPE] 8M CONN 243406375R</t>
  </si>
  <si>
    <t>8C5527</t>
  </si>
  <si>
    <t>[MULTY] 5F_CONN_0.64_B</t>
  </si>
  <si>
    <t>8C6034</t>
  </si>
  <si>
    <t>[MULTY - HINGE TYPE] F24CON_8200292443</t>
  </si>
  <si>
    <t>8C6041</t>
  </si>
  <si>
    <t>[MULTY - HINGE TYPE] F32CON_8200500125</t>
  </si>
  <si>
    <t>8C9001</t>
  </si>
  <si>
    <t>[복잡] CONN COVER(6PI)</t>
  </si>
  <si>
    <t>8C9460</t>
  </si>
  <si>
    <t>[간단] CONNECTOR COVER</t>
  </si>
  <si>
    <t>8C9462</t>
  </si>
  <si>
    <t>8C9697</t>
  </si>
  <si>
    <t>8C9711</t>
  </si>
  <si>
    <t>[복잡] CONNECTOR COVER</t>
  </si>
  <si>
    <t>8C9732</t>
  </si>
  <si>
    <t>8C9781</t>
  </si>
  <si>
    <t>[간단] HOLDING PLATE(105P)</t>
  </si>
  <si>
    <t>8C9799</t>
  </si>
  <si>
    <t>[간단] COVER</t>
  </si>
  <si>
    <t>8C9812</t>
  </si>
  <si>
    <t>8C9846</t>
  </si>
  <si>
    <t>8C9882</t>
  </si>
  <si>
    <t>8C9890</t>
  </si>
  <si>
    <t>[간단] TPA</t>
  </si>
  <si>
    <t>8K1431</t>
  </si>
  <si>
    <t>[SEAL TERM.] F TERMINAL</t>
  </si>
  <si>
    <t>8K6427</t>
  </si>
  <si>
    <t>[일반TERM.] F-TERMINAL</t>
  </si>
  <si>
    <t>8K6495</t>
  </si>
  <si>
    <t>[일반TERM.] F_TERM_0.64MM_T</t>
  </si>
  <si>
    <t>8S2372</t>
  </si>
  <si>
    <t>[SEAL PIN] CAVITY PLUG</t>
  </si>
  <si>
    <t>8S2385</t>
  </si>
  <si>
    <t>[SEAL PIN] SEAL PIN</t>
  </si>
  <si>
    <t>8S2440</t>
  </si>
  <si>
    <t>[SEAL PIN] PLUG SEAL</t>
  </si>
  <si>
    <t>8V6086</t>
  </si>
  <si>
    <t>[BAND형 CLIP(Strap 포함)] IRISH STRAP_8200301253</t>
  </si>
  <si>
    <t>8V6131</t>
  </si>
  <si>
    <t>[양면고정용 CLIP(양면을 Tape로 고정)] 양면고정CLIP_8200602292</t>
  </si>
  <si>
    <t>8V6385</t>
  </si>
  <si>
    <t>[CONN. CLIP ( CONN.에 부착하는 형태의 CLI] CLIP 8200927914</t>
  </si>
  <si>
    <t>8V8395</t>
  </si>
  <si>
    <t>[MISC.] POLY BAG (대일종합상사)</t>
  </si>
  <si>
    <t>8V8419</t>
  </si>
  <si>
    <t>[MISC.] 1100*1100*720 RETURN BOX</t>
  </si>
  <si>
    <t>8V8421</t>
  </si>
  <si>
    <t>[MISC.] 1100*1100*120(PALLET)</t>
  </si>
  <si>
    <t>8V9379</t>
  </si>
  <si>
    <t>[CABLE류] FAKRA CABLE</t>
  </si>
  <si>
    <t>9C7017</t>
  </si>
  <si>
    <t>[MULTY] F-69WAY-CONNECTOR</t>
  </si>
  <si>
    <t>9C9081</t>
  </si>
  <si>
    <t>[간단] CONN COVER</t>
  </si>
  <si>
    <t>9C9082</t>
  </si>
  <si>
    <t>9C9106</t>
  </si>
  <si>
    <t>[간단] HOLDING PLATE_105P</t>
  </si>
  <si>
    <t>TOTAL</t>
  </si>
  <si>
    <t>830207</t>
  </si>
  <si>
    <t>832017</t>
  </si>
  <si>
    <t>836710</t>
  </si>
  <si>
    <t>MADE IN</t>
    <phoneticPr fontId="18" type="noConversion"/>
  </si>
  <si>
    <t>MX</t>
    <phoneticPr fontId="18" type="noConversion"/>
  </si>
  <si>
    <t>CN</t>
  </si>
  <si>
    <t>CN</t>
    <phoneticPr fontId="18" type="noConversion"/>
  </si>
  <si>
    <t>KR</t>
  </si>
  <si>
    <t>DE</t>
  </si>
  <si>
    <t>TH</t>
  </si>
  <si>
    <t>SG</t>
  </si>
  <si>
    <t>FR</t>
  </si>
  <si>
    <t>US</t>
  </si>
  <si>
    <t>JP</t>
  </si>
  <si>
    <t>CZ</t>
  </si>
  <si>
    <t>MY</t>
  </si>
  <si>
    <t>QV-PLLT</t>
  </si>
  <si>
    <t>QV-BOX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</si>
</sst>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0" xfId="0" applyBorder="1">
      <alignment vertical="center"/>
    </xf>
    <xf numFmtId="49" fontId="0" fillId="0" borderId="10" xfId="0" applyNumberFormat="1" applyBorder="1">
      <alignment vertical="center"/>
    </xf>
    <xf numFmtId="0" fontId="19" fillId="0" borderId="10" xfId="0" applyFont="1" applyBorder="1">
      <alignment vertical="center"/>
    </xf>
    <xf numFmtId="164" fontId="19" fillId="0" borderId="10" xfId="42" applyNumberFormat="1" applyFont="1" applyBorder="1" applyAlignment="1">
      <alignment vertical="center"/>
    </xf>
    <xf numFmtId="43" fontId="19" fillId="0" borderId="10" xfId="42" applyFont="1" applyBorder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O27" sqref="O27:P27"/>
    </sheetView>
  </sheetViews>
  <sheetFormatPr defaultRowHeight="15"/>
  <cols>
    <col min="1" max="1" width="6.85546875" bestFit="1" customWidth="1"/>
    <col min="2" max="2" width="9.140625" bestFit="1" customWidth="1"/>
    <col min="3" max="3" width="5.5703125" bestFit="1" customWidth="1"/>
    <col min="4" max="4" width="59.42578125" bestFit="1" customWidth="1"/>
    <col min="5" max="5" width="10.140625" bestFit="1" customWidth="1"/>
    <col min="6" max="6" width="8" bestFit="1" customWidth="1"/>
    <col min="7" max="7" width="11.42578125" bestFit="1" customWidth="1"/>
    <col min="8" max="8" width="9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124</v>
      </c>
    </row>
    <row r="2" spans="1:8">
      <c r="A2">
        <v>1</v>
      </c>
      <c r="B2" s="1" t="s">
        <v>121</v>
      </c>
      <c r="C2" t="s">
        <v>7</v>
      </c>
      <c r="D2" t="s">
        <v>8</v>
      </c>
      <c r="E2">
        <v>3000</v>
      </c>
      <c r="F2">
        <v>4.9700000000000001E-2</v>
      </c>
      <c r="G2">
        <v>149.1</v>
      </c>
      <c r="H2" t="s">
        <v>128</v>
      </c>
    </row>
    <row r="3" spans="1:8">
      <c r="A3">
        <v>2</v>
      </c>
      <c r="B3" s="1" t="s">
        <v>122</v>
      </c>
      <c r="C3" t="s">
        <v>7</v>
      </c>
      <c r="D3" t="s">
        <v>9</v>
      </c>
      <c r="E3">
        <v>100</v>
      </c>
      <c r="F3">
        <v>0.20419999999999999</v>
      </c>
      <c r="G3">
        <v>20.420000000000002</v>
      </c>
      <c r="H3" t="s">
        <v>128</v>
      </c>
    </row>
    <row r="4" spans="1:8">
      <c r="A4">
        <v>3</v>
      </c>
      <c r="B4" s="1" t="s">
        <v>123</v>
      </c>
      <c r="C4" t="s">
        <v>7</v>
      </c>
      <c r="D4" t="s">
        <v>10</v>
      </c>
      <c r="E4">
        <v>5000</v>
      </c>
      <c r="F4">
        <v>4.6899999999999997E-2</v>
      </c>
      <c r="G4">
        <v>234.5</v>
      </c>
      <c r="H4" t="s">
        <v>128</v>
      </c>
    </row>
    <row r="5" spans="1:8">
      <c r="A5">
        <v>4</v>
      </c>
      <c r="B5" s="1" t="s">
        <v>11</v>
      </c>
      <c r="C5" t="s">
        <v>12</v>
      </c>
      <c r="D5" t="s">
        <v>13</v>
      </c>
      <c r="E5">
        <v>144</v>
      </c>
      <c r="F5">
        <v>1.4228000000000001</v>
      </c>
      <c r="G5">
        <v>204.88319999999999</v>
      </c>
      <c r="H5" t="s">
        <v>129</v>
      </c>
    </row>
    <row r="6" spans="1:8">
      <c r="A6">
        <v>5</v>
      </c>
      <c r="B6" s="1" t="s">
        <v>14</v>
      </c>
      <c r="C6" t="s">
        <v>12</v>
      </c>
      <c r="D6" t="s">
        <v>15</v>
      </c>
      <c r="E6">
        <v>324</v>
      </c>
      <c r="F6">
        <v>1.4447000000000001</v>
      </c>
      <c r="G6">
        <v>468.08280000000002</v>
      </c>
      <c r="H6" t="s">
        <v>129</v>
      </c>
    </row>
    <row r="7" spans="1:8">
      <c r="A7">
        <v>6</v>
      </c>
      <c r="B7" s="1" t="s">
        <v>16</v>
      </c>
      <c r="C7" t="s">
        <v>17</v>
      </c>
      <c r="D7" t="s">
        <v>18</v>
      </c>
      <c r="E7">
        <v>2000</v>
      </c>
      <c r="F7">
        <v>0.1105</v>
      </c>
      <c r="G7">
        <v>221</v>
      </c>
      <c r="H7" t="s">
        <v>128</v>
      </c>
    </row>
    <row r="8" spans="1:8">
      <c r="A8">
        <v>7</v>
      </c>
      <c r="B8" s="1" t="s">
        <v>19</v>
      </c>
      <c r="C8" t="s">
        <v>17</v>
      </c>
      <c r="D8" t="s">
        <v>20</v>
      </c>
      <c r="E8">
        <v>1250</v>
      </c>
      <c r="F8">
        <v>0.31769999999999998</v>
      </c>
      <c r="G8">
        <v>397.125</v>
      </c>
      <c r="H8" t="s">
        <v>128</v>
      </c>
    </row>
    <row r="9" spans="1:8">
      <c r="A9">
        <v>8</v>
      </c>
      <c r="B9" s="1" t="s">
        <v>21</v>
      </c>
      <c r="C9" t="s">
        <v>17</v>
      </c>
      <c r="D9" t="s">
        <v>22</v>
      </c>
      <c r="E9">
        <v>450</v>
      </c>
      <c r="F9">
        <v>0.73360000000000003</v>
      </c>
      <c r="G9">
        <v>330.12</v>
      </c>
      <c r="H9" t="s">
        <v>128</v>
      </c>
    </row>
    <row r="10" spans="1:8">
      <c r="A10">
        <v>9</v>
      </c>
      <c r="B10" s="1" t="s">
        <v>23</v>
      </c>
      <c r="C10" t="s">
        <v>17</v>
      </c>
      <c r="D10" t="s">
        <v>24</v>
      </c>
      <c r="E10">
        <v>6400</v>
      </c>
      <c r="F10">
        <v>1.3260000000000001</v>
      </c>
      <c r="G10">
        <v>8486.4</v>
      </c>
      <c r="H10" t="s">
        <v>126</v>
      </c>
    </row>
    <row r="11" spans="1:8">
      <c r="A11">
        <v>10</v>
      </c>
      <c r="B11" s="1" t="s">
        <v>25</v>
      </c>
      <c r="C11" t="s">
        <v>17</v>
      </c>
      <c r="D11" t="s">
        <v>26</v>
      </c>
      <c r="E11">
        <v>6240</v>
      </c>
      <c r="F11">
        <v>1.5743</v>
      </c>
      <c r="G11">
        <v>9823.6319999999996</v>
      </c>
      <c r="H11" t="s">
        <v>126</v>
      </c>
    </row>
    <row r="12" spans="1:8">
      <c r="A12">
        <v>11</v>
      </c>
      <c r="B12" s="1" t="s">
        <v>27</v>
      </c>
      <c r="C12" t="s">
        <v>7</v>
      </c>
      <c r="D12" t="s">
        <v>28</v>
      </c>
      <c r="E12">
        <v>250</v>
      </c>
      <c r="F12">
        <v>0.20219999999999999</v>
      </c>
      <c r="G12">
        <v>50.55</v>
      </c>
      <c r="H12" t="s">
        <v>128</v>
      </c>
    </row>
    <row r="13" spans="1:8">
      <c r="A13">
        <v>12</v>
      </c>
      <c r="B13" s="1" t="s">
        <v>29</v>
      </c>
      <c r="C13" t="s">
        <v>7</v>
      </c>
      <c r="D13" t="s">
        <v>30</v>
      </c>
      <c r="E13">
        <v>220</v>
      </c>
      <c r="F13">
        <v>0.39269999999999999</v>
      </c>
      <c r="G13">
        <v>86.394000000000005</v>
      </c>
      <c r="H13" t="s">
        <v>128</v>
      </c>
    </row>
    <row r="14" spans="1:8">
      <c r="A14">
        <v>13</v>
      </c>
      <c r="B14" s="1" t="s">
        <v>31</v>
      </c>
      <c r="C14" t="s">
        <v>7</v>
      </c>
      <c r="D14" t="s">
        <v>32</v>
      </c>
      <c r="E14">
        <v>55</v>
      </c>
      <c r="F14">
        <v>1.5246999999999999</v>
      </c>
      <c r="G14">
        <v>83.858500000000006</v>
      </c>
      <c r="H14" t="s">
        <v>128</v>
      </c>
    </row>
    <row r="15" spans="1:8">
      <c r="A15">
        <v>14</v>
      </c>
      <c r="B15" s="1" t="s">
        <v>33</v>
      </c>
      <c r="C15" t="s">
        <v>7</v>
      </c>
      <c r="D15" t="s">
        <v>34</v>
      </c>
      <c r="E15">
        <v>150</v>
      </c>
      <c r="F15">
        <v>0.1676</v>
      </c>
      <c r="G15">
        <v>25.14</v>
      </c>
      <c r="H15" t="s">
        <v>128</v>
      </c>
    </row>
    <row r="16" spans="1:8">
      <c r="A16">
        <v>15</v>
      </c>
      <c r="B16" s="1" t="s">
        <v>35</v>
      </c>
      <c r="C16" t="s">
        <v>7</v>
      </c>
      <c r="D16" t="s">
        <v>36</v>
      </c>
      <c r="E16">
        <v>2000</v>
      </c>
      <c r="F16">
        <v>0.40079999999999999</v>
      </c>
      <c r="G16">
        <v>801.6</v>
      </c>
      <c r="H16" t="s">
        <v>128</v>
      </c>
    </row>
    <row r="17" spans="1:8">
      <c r="A17">
        <v>16</v>
      </c>
      <c r="B17" s="1" t="s">
        <v>37</v>
      </c>
      <c r="C17" t="s">
        <v>7</v>
      </c>
      <c r="D17" t="s">
        <v>38</v>
      </c>
      <c r="E17">
        <v>1500</v>
      </c>
      <c r="F17">
        <v>0.2021</v>
      </c>
      <c r="G17">
        <v>303.14999999999998</v>
      </c>
      <c r="H17" t="s">
        <v>128</v>
      </c>
    </row>
    <row r="18" spans="1:8">
      <c r="A18">
        <v>17</v>
      </c>
      <c r="B18" s="1" t="s">
        <v>39</v>
      </c>
      <c r="C18" t="s">
        <v>7</v>
      </c>
      <c r="D18" t="s">
        <v>40</v>
      </c>
      <c r="E18">
        <v>6000</v>
      </c>
      <c r="F18">
        <v>0.3543</v>
      </c>
      <c r="G18">
        <v>2125.8000000000002</v>
      </c>
      <c r="H18" t="s">
        <v>128</v>
      </c>
    </row>
    <row r="19" spans="1:8">
      <c r="A19">
        <v>18</v>
      </c>
      <c r="B19" s="1" t="s">
        <v>41</v>
      </c>
      <c r="C19" t="s">
        <v>7</v>
      </c>
      <c r="D19" t="s">
        <v>42</v>
      </c>
      <c r="E19">
        <v>300</v>
      </c>
      <c r="F19">
        <v>0.1459</v>
      </c>
      <c r="G19">
        <v>43.77</v>
      </c>
      <c r="H19" t="s">
        <v>128</v>
      </c>
    </row>
    <row r="20" spans="1:8">
      <c r="A20">
        <v>19</v>
      </c>
      <c r="B20" s="1" t="s">
        <v>43</v>
      </c>
      <c r="C20" t="s">
        <v>7</v>
      </c>
      <c r="D20" t="s">
        <v>44</v>
      </c>
      <c r="E20">
        <v>150</v>
      </c>
      <c r="F20">
        <v>7.2126999999999999</v>
      </c>
      <c r="G20">
        <v>1081.905</v>
      </c>
      <c r="H20" t="s">
        <v>125</v>
      </c>
    </row>
    <row r="21" spans="1:8">
      <c r="A21">
        <v>20</v>
      </c>
      <c r="B21" s="1" t="s">
        <v>45</v>
      </c>
      <c r="C21" t="s">
        <v>7</v>
      </c>
      <c r="D21" t="s">
        <v>46</v>
      </c>
      <c r="E21">
        <v>100</v>
      </c>
      <c r="F21">
        <v>0.31559999999999999</v>
      </c>
      <c r="G21">
        <v>31.56</v>
      </c>
      <c r="H21" t="s">
        <v>127</v>
      </c>
    </row>
    <row r="22" spans="1:8">
      <c r="A22">
        <v>21</v>
      </c>
      <c r="B22" s="1" t="s">
        <v>47</v>
      </c>
      <c r="C22" t="s">
        <v>7</v>
      </c>
      <c r="D22" t="s">
        <v>48</v>
      </c>
      <c r="E22">
        <v>3200</v>
      </c>
      <c r="F22">
        <v>0.81759999999999999</v>
      </c>
      <c r="G22">
        <v>2616.3200000000002</v>
      </c>
      <c r="H22" t="s">
        <v>125</v>
      </c>
    </row>
    <row r="23" spans="1:8">
      <c r="A23">
        <v>22</v>
      </c>
      <c r="B23" s="1" t="s">
        <v>49</v>
      </c>
      <c r="C23" t="s">
        <v>7</v>
      </c>
      <c r="D23" t="s">
        <v>50</v>
      </c>
      <c r="E23">
        <v>6000</v>
      </c>
      <c r="F23">
        <v>0.17369999999999999</v>
      </c>
      <c r="G23">
        <v>1042.2</v>
      </c>
      <c r="H23" t="s">
        <v>126</v>
      </c>
    </row>
    <row r="24" spans="1:8">
      <c r="A24">
        <v>23</v>
      </c>
      <c r="B24" s="1" t="s">
        <v>51</v>
      </c>
      <c r="C24" t="s">
        <v>7</v>
      </c>
      <c r="D24" t="s">
        <v>52</v>
      </c>
      <c r="E24">
        <v>50</v>
      </c>
      <c r="F24">
        <v>0.56850000000000001</v>
      </c>
      <c r="G24">
        <v>28.425000000000001</v>
      </c>
      <c r="H24" t="s">
        <v>125</v>
      </c>
    </row>
    <row r="25" spans="1:8">
      <c r="A25">
        <v>24</v>
      </c>
      <c r="B25" s="1" t="s">
        <v>53</v>
      </c>
      <c r="C25" t="s">
        <v>7</v>
      </c>
      <c r="D25" t="s">
        <v>54</v>
      </c>
      <c r="E25">
        <v>240</v>
      </c>
      <c r="F25">
        <v>0.41289999999999999</v>
      </c>
      <c r="G25">
        <v>99.096000000000004</v>
      </c>
      <c r="H25" t="s">
        <v>130</v>
      </c>
    </row>
    <row r="26" spans="1:8">
      <c r="A26">
        <v>25</v>
      </c>
      <c r="B26" s="1" t="s">
        <v>55</v>
      </c>
      <c r="C26" t="s">
        <v>7</v>
      </c>
      <c r="D26" t="s">
        <v>56</v>
      </c>
      <c r="E26">
        <v>60</v>
      </c>
      <c r="F26">
        <v>4.87</v>
      </c>
      <c r="G26">
        <v>292.2</v>
      </c>
      <c r="H26" t="s">
        <v>128</v>
      </c>
    </row>
    <row r="27" spans="1:8">
      <c r="A27">
        <v>26</v>
      </c>
      <c r="B27" s="1" t="s">
        <v>57</v>
      </c>
      <c r="C27" t="s">
        <v>7</v>
      </c>
      <c r="D27" t="s">
        <v>58</v>
      </c>
      <c r="E27">
        <v>1840</v>
      </c>
      <c r="F27">
        <v>1.2786</v>
      </c>
      <c r="G27">
        <v>2352.6239999999998</v>
      </c>
      <c r="H27" t="s">
        <v>129</v>
      </c>
    </row>
    <row r="28" spans="1:8">
      <c r="A28">
        <v>27</v>
      </c>
      <c r="B28" s="1" t="s">
        <v>59</v>
      </c>
      <c r="C28" t="s">
        <v>7</v>
      </c>
      <c r="D28" t="s">
        <v>60</v>
      </c>
      <c r="E28">
        <v>945</v>
      </c>
      <c r="F28">
        <v>1.3426</v>
      </c>
      <c r="G28">
        <v>1268.7570000000001</v>
      </c>
      <c r="H28" t="s">
        <v>130</v>
      </c>
    </row>
    <row r="29" spans="1:8">
      <c r="A29">
        <v>28</v>
      </c>
      <c r="B29" s="1" t="s">
        <v>61</v>
      </c>
      <c r="C29" t="s">
        <v>7</v>
      </c>
      <c r="D29" t="s">
        <v>62</v>
      </c>
      <c r="E29">
        <v>800</v>
      </c>
      <c r="F29">
        <v>6.4000000000000001E-2</v>
      </c>
      <c r="G29">
        <v>51.2</v>
      </c>
      <c r="H29" t="s">
        <v>126</v>
      </c>
    </row>
    <row r="30" spans="1:8">
      <c r="A30">
        <v>29</v>
      </c>
      <c r="B30" s="1" t="s">
        <v>63</v>
      </c>
      <c r="C30" t="s">
        <v>7</v>
      </c>
      <c r="D30" t="s">
        <v>64</v>
      </c>
      <c r="E30">
        <v>10000</v>
      </c>
      <c r="F30">
        <v>0.16320000000000001</v>
      </c>
      <c r="G30">
        <v>1632</v>
      </c>
      <c r="H30" t="s">
        <v>126</v>
      </c>
    </row>
    <row r="31" spans="1:8">
      <c r="A31">
        <v>30</v>
      </c>
      <c r="B31" s="1" t="s">
        <v>65</v>
      </c>
      <c r="C31" t="s">
        <v>7</v>
      </c>
      <c r="D31" t="s">
        <v>66</v>
      </c>
      <c r="E31">
        <v>1200</v>
      </c>
      <c r="F31">
        <v>0.15570000000000001</v>
      </c>
      <c r="G31">
        <v>186.84</v>
      </c>
      <c r="H31" t="s">
        <v>126</v>
      </c>
    </row>
    <row r="32" spans="1:8">
      <c r="A32">
        <v>31</v>
      </c>
      <c r="B32" s="1" t="s">
        <v>67</v>
      </c>
      <c r="C32" t="s">
        <v>7</v>
      </c>
      <c r="D32" t="s">
        <v>68</v>
      </c>
      <c r="E32">
        <v>800</v>
      </c>
      <c r="F32">
        <v>0.22</v>
      </c>
      <c r="G32">
        <v>176</v>
      </c>
      <c r="H32" t="s">
        <v>131</v>
      </c>
    </row>
    <row r="33" spans="1:8">
      <c r="A33">
        <v>32</v>
      </c>
      <c r="B33" s="1" t="s">
        <v>69</v>
      </c>
      <c r="C33" t="s">
        <v>7</v>
      </c>
      <c r="D33" t="s">
        <v>70</v>
      </c>
      <c r="E33">
        <v>4000</v>
      </c>
      <c r="F33">
        <v>8.8800000000000004E-2</v>
      </c>
      <c r="G33">
        <v>355.2</v>
      </c>
      <c r="H33" t="s">
        <v>129</v>
      </c>
    </row>
    <row r="34" spans="1:8">
      <c r="A34">
        <v>33</v>
      </c>
      <c r="B34" s="1" t="s">
        <v>71</v>
      </c>
      <c r="C34" t="s">
        <v>7</v>
      </c>
      <c r="D34" t="s">
        <v>72</v>
      </c>
      <c r="E34">
        <v>3500</v>
      </c>
      <c r="F34">
        <v>2.7E-2</v>
      </c>
      <c r="G34">
        <v>94.5</v>
      </c>
      <c r="H34" t="s">
        <v>128</v>
      </c>
    </row>
    <row r="35" spans="1:8">
      <c r="A35">
        <v>34</v>
      </c>
      <c r="B35" s="1" t="s">
        <v>73</v>
      </c>
      <c r="C35" t="s">
        <v>7</v>
      </c>
      <c r="D35" t="s">
        <v>72</v>
      </c>
      <c r="E35">
        <v>5000</v>
      </c>
      <c r="F35">
        <v>0.1186</v>
      </c>
      <c r="G35">
        <v>593</v>
      </c>
      <c r="H35" t="s">
        <v>129</v>
      </c>
    </row>
    <row r="36" spans="1:8">
      <c r="A36">
        <v>35</v>
      </c>
      <c r="B36" s="1" t="s">
        <v>74</v>
      </c>
      <c r="C36" t="s">
        <v>7</v>
      </c>
      <c r="D36" t="s">
        <v>72</v>
      </c>
      <c r="E36">
        <v>28000</v>
      </c>
      <c r="F36">
        <v>8.1600000000000006E-2</v>
      </c>
      <c r="G36">
        <v>2284.8000000000002</v>
      </c>
      <c r="H36" t="s">
        <v>129</v>
      </c>
    </row>
    <row r="37" spans="1:8">
      <c r="A37">
        <v>36</v>
      </c>
      <c r="B37" s="1" t="s">
        <v>75</v>
      </c>
      <c r="C37" t="s">
        <v>7</v>
      </c>
      <c r="D37" t="s">
        <v>76</v>
      </c>
      <c r="E37">
        <v>8000</v>
      </c>
      <c r="F37">
        <v>8.5300000000000001E-2</v>
      </c>
      <c r="G37">
        <v>682.4</v>
      </c>
      <c r="H37" t="s">
        <v>128</v>
      </c>
    </row>
    <row r="38" spans="1:8">
      <c r="A38">
        <v>37</v>
      </c>
      <c r="B38" s="1" t="s">
        <v>77</v>
      </c>
      <c r="C38" t="s">
        <v>7</v>
      </c>
      <c r="D38" t="s">
        <v>76</v>
      </c>
      <c r="E38">
        <v>975</v>
      </c>
      <c r="F38">
        <v>0.25940000000000002</v>
      </c>
      <c r="G38">
        <v>252.91499999999999</v>
      </c>
      <c r="H38" t="s">
        <v>132</v>
      </c>
    </row>
    <row r="39" spans="1:8">
      <c r="A39">
        <v>38</v>
      </c>
      <c r="B39" s="1" t="s">
        <v>78</v>
      </c>
      <c r="C39" t="s">
        <v>7</v>
      </c>
      <c r="D39" t="s">
        <v>79</v>
      </c>
      <c r="E39">
        <v>1000</v>
      </c>
      <c r="F39">
        <v>8.48E-2</v>
      </c>
      <c r="G39">
        <v>84.8</v>
      </c>
      <c r="H39" t="s">
        <v>130</v>
      </c>
    </row>
    <row r="40" spans="1:8">
      <c r="A40">
        <v>39</v>
      </c>
      <c r="B40" s="1" t="s">
        <v>80</v>
      </c>
      <c r="C40" t="s">
        <v>7</v>
      </c>
      <c r="D40" t="s">
        <v>81</v>
      </c>
      <c r="E40">
        <v>3500</v>
      </c>
      <c r="F40">
        <v>9.0499999999999997E-2</v>
      </c>
      <c r="G40">
        <v>316.75</v>
      </c>
      <c r="H40" t="s">
        <v>133</v>
      </c>
    </row>
    <row r="41" spans="1:8">
      <c r="A41">
        <v>40</v>
      </c>
      <c r="B41" s="1" t="s">
        <v>82</v>
      </c>
      <c r="C41" t="s">
        <v>7</v>
      </c>
      <c r="D41" t="s">
        <v>81</v>
      </c>
      <c r="E41">
        <v>18000</v>
      </c>
      <c r="F41">
        <v>4.4499999999999998E-2</v>
      </c>
      <c r="G41">
        <v>801</v>
      </c>
      <c r="H41" t="s">
        <v>129</v>
      </c>
    </row>
    <row r="42" spans="1:8">
      <c r="A42">
        <v>41</v>
      </c>
      <c r="B42" s="1" t="s">
        <v>83</v>
      </c>
      <c r="C42" t="s">
        <v>7</v>
      </c>
      <c r="D42" t="s">
        <v>81</v>
      </c>
      <c r="E42">
        <v>300</v>
      </c>
      <c r="F42">
        <v>0.45810000000000001</v>
      </c>
      <c r="G42">
        <v>137.43</v>
      </c>
      <c r="H42" t="s">
        <v>134</v>
      </c>
    </row>
    <row r="43" spans="1:8">
      <c r="A43">
        <v>42</v>
      </c>
      <c r="B43" s="1" t="s">
        <v>84</v>
      </c>
      <c r="C43" t="s">
        <v>7</v>
      </c>
      <c r="D43" t="s">
        <v>76</v>
      </c>
      <c r="E43">
        <v>1080</v>
      </c>
      <c r="F43">
        <v>0.42330000000000001</v>
      </c>
      <c r="G43">
        <v>457.16399999999999</v>
      </c>
      <c r="H43" t="s">
        <v>133</v>
      </c>
    </row>
    <row r="44" spans="1:8">
      <c r="A44">
        <v>43</v>
      </c>
      <c r="B44" s="1" t="s">
        <v>85</v>
      </c>
      <c r="C44" t="s">
        <v>7</v>
      </c>
      <c r="D44" t="s">
        <v>86</v>
      </c>
      <c r="E44">
        <v>8</v>
      </c>
      <c r="F44">
        <v>5.9499999999999997E-2</v>
      </c>
      <c r="G44">
        <v>0.47599999999999998</v>
      </c>
      <c r="H44" t="s">
        <v>127</v>
      </c>
    </row>
    <row r="45" spans="1:8">
      <c r="A45">
        <v>44</v>
      </c>
      <c r="B45" s="1" t="s">
        <v>87</v>
      </c>
      <c r="C45" t="s">
        <v>7</v>
      </c>
      <c r="D45" t="s">
        <v>88</v>
      </c>
      <c r="E45">
        <v>26000</v>
      </c>
      <c r="F45">
        <v>2.8500000000000001E-2</v>
      </c>
      <c r="G45">
        <v>741</v>
      </c>
      <c r="H45" t="s">
        <v>126</v>
      </c>
    </row>
    <row r="46" spans="1:8">
      <c r="A46">
        <v>45</v>
      </c>
      <c r="B46" s="1" t="s">
        <v>89</v>
      </c>
      <c r="C46" t="s">
        <v>7</v>
      </c>
      <c r="D46" t="s">
        <v>90</v>
      </c>
      <c r="E46">
        <v>22500</v>
      </c>
      <c r="F46">
        <v>5.9799999999999999E-2</v>
      </c>
      <c r="G46">
        <v>1345.5</v>
      </c>
      <c r="H46" t="s">
        <v>135</v>
      </c>
    </row>
    <row r="47" spans="1:8">
      <c r="A47">
        <v>46</v>
      </c>
      <c r="B47" s="1" t="s">
        <v>91</v>
      </c>
      <c r="C47" t="s">
        <v>7</v>
      </c>
      <c r="D47" t="s">
        <v>92</v>
      </c>
      <c r="E47">
        <v>150000</v>
      </c>
      <c r="F47">
        <v>2.3900000000000001E-2</v>
      </c>
      <c r="G47">
        <v>3585</v>
      </c>
      <c r="H47" t="s">
        <v>126</v>
      </c>
    </row>
    <row r="48" spans="1:8">
      <c r="A48">
        <v>47</v>
      </c>
      <c r="B48" s="1" t="s">
        <v>93</v>
      </c>
      <c r="C48" t="s">
        <v>7</v>
      </c>
      <c r="D48" t="s">
        <v>94</v>
      </c>
      <c r="E48">
        <v>42000</v>
      </c>
      <c r="F48">
        <v>1.14E-2</v>
      </c>
      <c r="G48">
        <v>478.8</v>
      </c>
      <c r="H48" t="s">
        <v>136</v>
      </c>
    </row>
    <row r="49" spans="1:8">
      <c r="A49">
        <v>48</v>
      </c>
      <c r="B49" s="1" t="s">
        <v>95</v>
      </c>
      <c r="C49" t="s">
        <v>7</v>
      </c>
      <c r="D49" t="s">
        <v>96</v>
      </c>
      <c r="E49">
        <v>80000</v>
      </c>
      <c r="F49">
        <v>1.7399999999999999E-2</v>
      </c>
      <c r="G49">
        <v>1392</v>
      </c>
      <c r="H49" t="s">
        <v>128</v>
      </c>
    </row>
    <row r="50" spans="1:8">
      <c r="A50">
        <v>49</v>
      </c>
      <c r="B50" s="1" t="s">
        <v>97</v>
      </c>
      <c r="C50" t="s">
        <v>7</v>
      </c>
      <c r="D50" t="s">
        <v>98</v>
      </c>
      <c r="E50">
        <v>6000</v>
      </c>
      <c r="F50">
        <v>2.69E-2</v>
      </c>
      <c r="G50">
        <v>161.4</v>
      </c>
      <c r="H50" t="s">
        <v>126</v>
      </c>
    </row>
    <row r="51" spans="1:8">
      <c r="A51">
        <v>50</v>
      </c>
      <c r="B51" s="1" t="s">
        <v>99</v>
      </c>
      <c r="C51" t="s">
        <v>7</v>
      </c>
      <c r="D51" t="s">
        <v>100</v>
      </c>
      <c r="E51">
        <v>20000</v>
      </c>
      <c r="F51">
        <v>1.9400000000000001E-2</v>
      </c>
      <c r="G51">
        <v>388</v>
      </c>
      <c r="H51" t="s">
        <v>128</v>
      </c>
    </row>
    <row r="52" spans="1:8">
      <c r="A52">
        <v>51</v>
      </c>
      <c r="B52" s="1" t="s">
        <v>101</v>
      </c>
      <c r="C52" t="s">
        <v>7</v>
      </c>
      <c r="D52" t="s">
        <v>102</v>
      </c>
      <c r="E52">
        <v>100</v>
      </c>
      <c r="F52">
        <v>1.04E-2</v>
      </c>
      <c r="G52">
        <v>1.04</v>
      </c>
      <c r="H52" t="s">
        <v>128</v>
      </c>
    </row>
    <row r="53" spans="1:8">
      <c r="A53">
        <v>52</v>
      </c>
      <c r="B53" s="1" t="s">
        <v>103</v>
      </c>
      <c r="C53" t="s">
        <v>7</v>
      </c>
      <c r="D53" t="s">
        <v>104</v>
      </c>
      <c r="E53">
        <v>4000</v>
      </c>
      <c r="F53">
        <v>1.55E-2</v>
      </c>
      <c r="G53">
        <v>62</v>
      </c>
      <c r="H53" t="s">
        <v>132</v>
      </c>
    </row>
    <row r="54" spans="1:8">
      <c r="A54">
        <v>53</v>
      </c>
      <c r="B54" s="1" t="s">
        <v>105</v>
      </c>
      <c r="C54" t="s">
        <v>7</v>
      </c>
      <c r="D54" t="s">
        <v>106</v>
      </c>
      <c r="E54">
        <v>790</v>
      </c>
      <c r="F54">
        <v>1.11E-2</v>
      </c>
      <c r="G54">
        <v>8.7690000000000001</v>
      </c>
      <c r="H54" t="s">
        <v>128</v>
      </c>
    </row>
    <row r="55" spans="1:8">
      <c r="A55">
        <v>54</v>
      </c>
      <c r="B55" s="1" t="s">
        <v>107</v>
      </c>
      <c r="C55" t="s">
        <v>7</v>
      </c>
      <c r="D55" t="s">
        <v>108</v>
      </c>
      <c r="E55">
        <v>60</v>
      </c>
      <c r="F55">
        <v>93.775999999999996</v>
      </c>
      <c r="G55">
        <v>5626.56</v>
      </c>
      <c r="H55" t="s">
        <v>128</v>
      </c>
    </row>
    <row r="56" spans="1:8">
      <c r="A56">
        <v>55</v>
      </c>
      <c r="B56" s="1" t="s">
        <v>109</v>
      </c>
      <c r="C56" t="s">
        <v>7</v>
      </c>
      <c r="D56" t="s">
        <v>110</v>
      </c>
      <c r="E56">
        <v>101</v>
      </c>
      <c r="F56">
        <v>5.9739000000000004</v>
      </c>
      <c r="G56">
        <v>603.36389999999994</v>
      </c>
      <c r="H56" t="s">
        <v>128</v>
      </c>
    </row>
    <row r="57" spans="1:8">
      <c r="A57">
        <v>56</v>
      </c>
      <c r="B57" s="1" t="s">
        <v>111</v>
      </c>
      <c r="C57" t="s">
        <v>7</v>
      </c>
      <c r="D57" t="s">
        <v>112</v>
      </c>
      <c r="E57">
        <v>300</v>
      </c>
      <c r="F57">
        <v>0.01</v>
      </c>
      <c r="G57">
        <v>3</v>
      </c>
      <c r="H57" t="s">
        <v>127</v>
      </c>
    </row>
    <row r="58" spans="1:8">
      <c r="A58">
        <v>57</v>
      </c>
      <c r="B58" s="1" t="s">
        <v>113</v>
      </c>
      <c r="C58" t="s">
        <v>7</v>
      </c>
      <c r="D58" t="s">
        <v>114</v>
      </c>
      <c r="E58">
        <v>1728</v>
      </c>
      <c r="F58">
        <v>0.79449999999999998</v>
      </c>
      <c r="G58">
        <v>1372.896</v>
      </c>
      <c r="H58" t="s">
        <v>126</v>
      </c>
    </row>
    <row r="59" spans="1:8">
      <c r="A59">
        <v>58</v>
      </c>
      <c r="B59" s="1" t="s">
        <v>115</v>
      </c>
      <c r="C59" t="s">
        <v>7</v>
      </c>
      <c r="D59" t="s">
        <v>116</v>
      </c>
      <c r="E59">
        <v>24000</v>
      </c>
      <c r="F59">
        <v>6.6799999999999998E-2</v>
      </c>
      <c r="G59">
        <v>1603.2</v>
      </c>
      <c r="H59" t="s">
        <v>129</v>
      </c>
    </row>
    <row r="60" spans="1:8">
      <c r="A60">
        <v>59</v>
      </c>
      <c r="B60" s="1" t="s">
        <v>117</v>
      </c>
      <c r="C60" t="s">
        <v>7</v>
      </c>
      <c r="D60" t="s">
        <v>116</v>
      </c>
      <c r="E60">
        <v>10000</v>
      </c>
      <c r="F60">
        <v>9.4200000000000006E-2</v>
      </c>
      <c r="G60">
        <v>942</v>
      </c>
      <c r="H60" t="s">
        <v>129</v>
      </c>
    </row>
    <row r="61" spans="1:8">
      <c r="A61">
        <v>60</v>
      </c>
      <c r="B61" s="1" t="s">
        <v>118</v>
      </c>
      <c r="C61" t="s">
        <v>7</v>
      </c>
      <c r="D61" t="s">
        <v>119</v>
      </c>
      <c r="E61">
        <v>1000</v>
      </c>
      <c r="F61">
        <v>0.1986</v>
      </c>
      <c r="G61">
        <v>198.6</v>
      </c>
      <c r="H61" t="s">
        <v>129</v>
      </c>
    </row>
    <row r="62" spans="1:8">
      <c r="A62" t="s">
        <v>120</v>
      </c>
      <c r="G62">
        <v>59288.216399999998</v>
      </c>
    </row>
  </sheetData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06B6-E48A-4ADB-B8E9-BD33D7FF3AC0}">
  <dimension ref="A1:H60"/>
  <sheetViews>
    <sheetView view="pageBreakPreview" zoomScale="60" zoomScaleNormal="100" workbookViewId="0">
      <selection activeCell="K33" sqref="K33"/>
    </sheetView>
  </sheetViews>
  <sheetFormatPr defaultRowHeight="15"/>
  <cols>
    <col min="1" max="1" width="5.42578125" customWidth="1"/>
    <col min="2" max="2" width="9.140625" bestFit="1" customWidth="1"/>
    <col min="3" max="3" width="5.5703125" bestFit="1" customWidth="1"/>
    <col min="4" max="4" width="59.42578125" bestFit="1" customWidth="1"/>
    <col min="5" max="5" width="11.5703125" bestFit="1" customWidth="1"/>
    <col min="6" max="6" width="9" customWidth="1"/>
    <col min="7" max="7" width="11.5703125" bestFit="1" customWidth="1"/>
    <col min="8" max="8" width="9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124</v>
      </c>
    </row>
    <row r="2" spans="1:8">
      <c r="A2" s="2">
        <v>1</v>
      </c>
      <c r="B2" s="3" t="s">
        <v>121</v>
      </c>
      <c r="C2" s="2" t="s">
        <v>7</v>
      </c>
      <c r="D2" s="2" t="s">
        <v>8</v>
      </c>
      <c r="E2" s="2">
        <v>3000</v>
      </c>
      <c r="F2" s="2">
        <v>4.9700000000000001E-2</v>
      </c>
      <c r="G2" s="2">
        <v>149.1</v>
      </c>
      <c r="H2" s="2" t="s">
        <v>128</v>
      </c>
    </row>
    <row r="3" spans="1:8">
      <c r="A3" s="2">
        <v>2</v>
      </c>
      <c r="B3" s="3" t="s">
        <v>122</v>
      </c>
      <c r="C3" s="2" t="s">
        <v>7</v>
      </c>
      <c r="D3" s="2" t="s">
        <v>9</v>
      </c>
      <c r="E3" s="2">
        <v>100</v>
      </c>
      <c r="F3" s="2">
        <v>0.20419999999999999</v>
      </c>
      <c r="G3" s="2">
        <v>20.420000000000002</v>
      </c>
      <c r="H3" s="2" t="s">
        <v>128</v>
      </c>
    </row>
    <row r="4" spans="1:8">
      <c r="A4" s="2">
        <v>3</v>
      </c>
      <c r="B4" s="3" t="s">
        <v>123</v>
      </c>
      <c r="C4" s="2" t="s">
        <v>7</v>
      </c>
      <c r="D4" s="2" t="s">
        <v>10</v>
      </c>
      <c r="E4" s="2">
        <v>5000</v>
      </c>
      <c r="F4" s="2">
        <v>4.6899999999999997E-2</v>
      </c>
      <c r="G4" s="2">
        <v>234.5</v>
      </c>
      <c r="H4" s="2" t="s">
        <v>128</v>
      </c>
    </row>
    <row r="5" spans="1:8">
      <c r="A5" s="2">
        <v>4</v>
      </c>
      <c r="B5" s="3" t="s">
        <v>11</v>
      </c>
      <c r="C5" s="2" t="s">
        <v>12</v>
      </c>
      <c r="D5" s="2" t="s">
        <v>13</v>
      </c>
      <c r="E5" s="2">
        <v>144</v>
      </c>
      <c r="F5" s="2">
        <v>1.4228000000000001</v>
      </c>
      <c r="G5" s="2">
        <v>204.88319999999999</v>
      </c>
      <c r="H5" s="2" t="s">
        <v>129</v>
      </c>
    </row>
    <row r="6" spans="1:8">
      <c r="A6" s="2">
        <v>5</v>
      </c>
      <c r="B6" s="3" t="s">
        <v>14</v>
      </c>
      <c r="C6" s="2" t="s">
        <v>12</v>
      </c>
      <c r="D6" s="2" t="s">
        <v>15</v>
      </c>
      <c r="E6" s="2">
        <v>324</v>
      </c>
      <c r="F6" s="2">
        <v>1.4447000000000001</v>
      </c>
      <c r="G6" s="2">
        <v>468.08280000000002</v>
      </c>
      <c r="H6" s="2" t="s">
        <v>129</v>
      </c>
    </row>
    <row r="7" spans="1:8">
      <c r="A7" s="2">
        <v>6</v>
      </c>
      <c r="B7" s="3" t="s">
        <v>16</v>
      </c>
      <c r="C7" s="2" t="s">
        <v>17</v>
      </c>
      <c r="D7" s="2" t="s">
        <v>18</v>
      </c>
      <c r="E7" s="2">
        <v>2000</v>
      </c>
      <c r="F7" s="2">
        <v>0.1105</v>
      </c>
      <c r="G7" s="2">
        <v>221</v>
      </c>
      <c r="H7" s="2" t="s">
        <v>128</v>
      </c>
    </row>
    <row r="8" spans="1:8">
      <c r="A8" s="2">
        <v>7</v>
      </c>
      <c r="B8" s="3" t="s">
        <v>19</v>
      </c>
      <c r="C8" s="2" t="s">
        <v>17</v>
      </c>
      <c r="D8" s="2" t="s">
        <v>20</v>
      </c>
      <c r="E8" s="2">
        <v>1250</v>
      </c>
      <c r="F8" s="2">
        <v>0.31769999999999998</v>
      </c>
      <c r="G8" s="2">
        <v>397.125</v>
      </c>
      <c r="H8" s="2" t="s">
        <v>128</v>
      </c>
    </row>
    <row r="9" spans="1:8">
      <c r="A9" s="2">
        <v>8</v>
      </c>
      <c r="B9" s="3" t="s">
        <v>21</v>
      </c>
      <c r="C9" s="2" t="s">
        <v>17</v>
      </c>
      <c r="D9" s="2" t="s">
        <v>22</v>
      </c>
      <c r="E9" s="2">
        <v>450</v>
      </c>
      <c r="F9" s="2">
        <v>0.73360000000000003</v>
      </c>
      <c r="G9" s="2">
        <v>330.12</v>
      </c>
      <c r="H9" s="2" t="s">
        <v>128</v>
      </c>
    </row>
    <row r="10" spans="1:8">
      <c r="A10" s="2">
        <v>9</v>
      </c>
      <c r="B10" s="3" t="s">
        <v>23</v>
      </c>
      <c r="C10" s="2" t="s">
        <v>17</v>
      </c>
      <c r="D10" s="2" t="s">
        <v>24</v>
      </c>
      <c r="E10" s="2">
        <v>6400</v>
      </c>
      <c r="F10" s="2">
        <v>1.3260000000000001</v>
      </c>
      <c r="G10" s="2">
        <v>8486.4</v>
      </c>
      <c r="H10" s="2" t="s">
        <v>126</v>
      </c>
    </row>
    <row r="11" spans="1:8">
      <c r="A11" s="2">
        <v>10</v>
      </c>
      <c r="B11" s="3" t="s">
        <v>25</v>
      </c>
      <c r="C11" s="2" t="s">
        <v>17</v>
      </c>
      <c r="D11" s="2" t="s">
        <v>26</v>
      </c>
      <c r="E11" s="2">
        <v>6240</v>
      </c>
      <c r="F11" s="2">
        <v>1.5743</v>
      </c>
      <c r="G11" s="2">
        <v>9823.6319999999996</v>
      </c>
      <c r="H11" s="2" t="s">
        <v>126</v>
      </c>
    </row>
    <row r="12" spans="1:8">
      <c r="A12" s="2">
        <v>11</v>
      </c>
      <c r="B12" s="3" t="s">
        <v>27</v>
      </c>
      <c r="C12" s="2" t="s">
        <v>7</v>
      </c>
      <c r="D12" s="2" t="s">
        <v>28</v>
      </c>
      <c r="E12" s="2">
        <v>250</v>
      </c>
      <c r="F12" s="2">
        <v>0.20219999999999999</v>
      </c>
      <c r="G12" s="2">
        <v>50.55</v>
      </c>
      <c r="H12" s="2" t="s">
        <v>128</v>
      </c>
    </row>
    <row r="13" spans="1:8">
      <c r="A13" s="2">
        <v>12</v>
      </c>
      <c r="B13" s="3" t="s">
        <v>29</v>
      </c>
      <c r="C13" s="2" t="s">
        <v>7</v>
      </c>
      <c r="D13" s="2" t="s">
        <v>30</v>
      </c>
      <c r="E13" s="2">
        <v>220</v>
      </c>
      <c r="F13" s="2">
        <v>0.39269999999999999</v>
      </c>
      <c r="G13" s="2">
        <v>86.394000000000005</v>
      </c>
      <c r="H13" s="2" t="s">
        <v>128</v>
      </c>
    </row>
    <row r="14" spans="1:8">
      <c r="A14" s="2">
        <v>13</v>
      </c>
      <c r="B14" s="3" t="s">
        <v>31</v>
      </c>
      <c r="C14" s="2" t="s">
        <v>7</v>
      </c>
      <c r="D14" s="2" t="s">
        <v>32</v>
      </c>
      <c r="E14" s="2">
        <v>55</v>
      </c>
      <c r="F14" s="2">
        <v>1.5246999999999999</v>
      </c>
      <c r="G14" s="2">
        <v>83.858500000000006</v>
      </c>
      <c r="H14" s="2" t="s">
        <v>128</v>
      </c>
    </row>
    <row r="15" spans="1:8">
      <c r="A15" s="2">
        <v>14</v>
      </c>
      <c r="B15" s="3" t="s">
        <v>33</v>
      </c>
      <c r="C15" s="2" t="s">
        <v>7</v>
      </c>
      <c r="D15" s="2" t="s">
        <v>34</v>
      </c>
      <c r="E15" s="2">
        <v>150</v>
      </c>
      <c r="F15" s="2">
        <v>0.1676</v>
      </c>
      <c r="G15" s="2">
        <v>25.14</v>
      </c>
      <c r="H15" s="2" t="s">
        <v>128</v>
      </c>
    </row>
    <row r="16" spans="1:8">
      <c r="A16" s="2">
        <v>15</v>
      </c>
      <c r="B16" s="3" t="s">
        <v>35</v>
      </c>
      <c r="C16" s="2" t="s">
        <v>7</v>
      </c>
      <c r="D16" s="2" t="s">
        <v>36</v>
      </c>
      <c r="E16" s="2">
        <v>2000</v>
      </c>
      <c r="F16" s="2">
        <v>0.40079999999999999</v>
      </c>
      <c r="G16" s="2">
        <v>801.6</v>
      </c>
      <c r="H16" s="2" t="s">
        <v>128</v>
      </c>
    </row>
    <row r="17" spans="1:8">
      <c r="A17" s="2">
        <v>16</v>
      </c>
      <c r="B17" s="3" t="s">
        <v>37</v>
      </c>
      <c r="C17" s="2" t="s">
        <v>7</v>
      </c>
      <c r="D17" s="2" t="s">
        <v>38</v>
      </c>
      <c r="E17" s="2">
        <v>1500</v>
      </c>
      <c r="F17" s="2">
        <v>0.2021</v>
      </c>
      <c r="G17" s="2">
        <v>303.14999999999998</v>
      </c>
      <c r="H17" s="2" t="s">
        <v>128</v>
      </c>
    </row>
    <row r="18" spans="1:8">
      <c r="A18" s="2">
        <v>17</v>
      </c>
      <c r="B18" s="3" t="s">
        <v>39</v>
      </c>
      <c r="C18" s="2" t="s">
        <v>7</v>
      </c>
      <c r="D18" s="2" t="s">
        <v>40</v>
      </c>
      <c r="E18" s="2">
        <v>6000</v>
      </c>
      <c r="F18" s="2">
        <v>0.3543</v>
      </c>
      <c r="G18" s="2">
        <v>2125.8000000000002</v>
      </c>
      <c r="H18" s="2" t="s">
        <v>128</v>
      </c>
    </row>
    <row r="19" spans="1:8">
      <c r="A19" s="2">
        <v>18</v>
      </c>
      <c r="B19" s="3" t="s">
        <v>41</v>
      </c>
      <c r="C19" s="2" t="s">
        <v>7</v>
      </c>
      <c r="D19" s="2" t="s">
        <v>42</v>
      </c>
      <c r="E19" s="2">
        <v>300</v>
      </c>
      <c r="F19" s="2">
        <v>0.1459</v>
      </c>
      <c r="G19" s="2">
        <v>43.77</v>
      </c>
      <c r="H19" s="2" t="s">
        <v>128</v>
      </c>
    </row>
    <row r="20" spans="1:8">
      <c r="A20" s="2">
        <v>19</v>
      </c>
      <c r="B20" s="3" t="s">
        <v>43</v>
      </c>
      <c r="C20" s="2" t="s">
        <v>7</v>
      </c>
      <c r="D20" s="2" t="s">
        <v>44</v>
      </c>
      <c r="E20" s="2">
        <v>150</v>
      </c>
      <c r="F20" s="2">
        <v>7.2126999999999999</v>
      </c>
      <c r="G20" s="2">
        <v>1081.905</v>
      </c>
      <c r="H20" s="2" t="s">
        <v>125</v>
      </c>
    </row>
    <row r="21" spans="1:8">
      <c r="A21" s="2">
        <v>20</v>
      </c>
      <c r="B21" s="3" t="s">
        <v>45</v>
      </c>
      <c r="C21" s="2" t="s">
        <v>7</v>
      </c>
      <c r="D21" s="2" t="s">
        <v>46</v>
      </c>
      <c r="E21" s="2">
        <v>100</v>
      </c>
      <c r="F21" s="2">
        <v>0.31559999999999999</v>
      </c>
      <c r="G21" s="2">
        <v>31.56</v>
      </c>
      <c r="H21" s="2" t="s">
        <v>127</v>
      </c>
    </row>
    <row r="22" spans="1:8">
      <c r="A22" s="2">
        <v>21</v>
      </c>
      <c r="B22" s="3" t="s">
        <v>47</v>
      </c>
      <c r="C22" s="2" t="s">
        <v>7</v>
      </c>
      <c r="D22" s="2" t="s">
        <v>48</v>
      </c>
      <c r="E22" s="2">
        <v>3200</v>
      </c>
      <c r="F22" s="2">
        <v>0.81759999999999999</v>
      </c>
      <c r="G22" s="2">
        <v>2616.3200000000002</v>
      </c>
      <c r="H22" s="2" t="s">
        <v>125</v>
      </c>
    </row>
    <row r="23" spans="1:8">
      <c r="A23" s="2">
        <v>22</v>
      </c>
      <c r="B23" s="3" t="s">
        <v>49</v>
      </c>
      <c r="C23" s="2" t="s">
        <v>7</v>
      </c>
      <c r="D23" s="2" t="s">
        <v>50</v>
      </c>
      <c r="E23" s="2">
        <v>6000</v>
      </c>
      <c r="F23" s="2">
        <v>0.17369999999999999</v>
      </c>
      <c r="G23" s="2">
        <v>1042.2</v>
      </c>
      <c r="H23" s="2" t="s">
        <v>126</v>
      </c>
    </row>
    <row r="24" spans="1:8">
      <c r="A24" s="2">
        <v>23</v>
      </c>
      <c r="B24" s="3" t="s">
        <v>51</v>
      </c>
      <c r="C24" s="2" t="s">
        <v>7</v>
      </c>
      <c r="D24" s="2" t="s">
        <v>52</v>
      </c>
      <c r="E24" s="2">
        <v>50</v>
      </c>
      <c r="F24" s="2">
        <v>0.56850000000000001</v>
      </c>
      <c r="G24" s="2">
        <v>28.425000000000001</v>
      </c>
      <c r="H24" s="2" t="s">
        <v>125</v>
      </c>
    </row>
    <row r="25" spans="1:8">
      <c r="A25" s="2">
        <v>24</v>
      </c>
      <c r="B25" s="3" t="s">
        <v>53</v>
      </c>
      <c r="C25" s="2" t="s">
        <v>7</v>
      </c>
      <c r="D25" s="2" t="s">
        <v>54</v>
      </c>
      <c r="E25" s="2">
        <v>240</v>
      </c>
      <c r="F25" s="2">
        <v>0.41289999999999999</v>
      </c>
      <c r="G25" s="2">
        <v>99.096000000000004</v>
      </c>
      <c r="H25" s="2" t="s">
        <v>130</v>
      </c>
    </row>
    <row r="26" spans="1:8">
      <c r="A26" s="2">
        <v>25</v>
      </c>
      <c r="B26" s="3" t="s">
        <v>55</v>
      </c>
      <c r="C26" s="2" t="s">
        <v>7</v>
      </c>
      <c r="D26" s="2" t="s">
        <v>56</v>
      </c>
      <c r="E26" s="2">
        <v>60</v>
      </c>
      <c r="F26" s="2">
        <v>4.87</v>
      </c>
      <c r="G26" s="2">
        <v>292.2</v>
      </c>
      <c r="H26" s="2" t="s">
        <v>128</v>
      </c>
    </row>
    <row r="27" spans="1:8">
      <c r="A27" s="2">
        <v>26</v>
      </c>
      <c r="B27" s="3" t="s">
        <v>57</v>
      </c>
      <c r="C27" s="2" t="s">
        <v>7</v>
      </c>
      <c r="D27" s="2" t="s">
        <v>58</v>
      </c>
      <c r="E27" s="2">
        <v>1840</v>
      </c>
      <c r="F27" s="2">
        <v>1.2786</v>
      </c>
      <c r="G27" s="2">
        <v>2352.6239999999998</v>
      </c>
      <c r="H27" s="2" t="s">
        <v>129</v>
      </c>
    </row>
    <row r="28" spans="1:8">
      <c r="A28" s="2">
        <v>27</v>
      </c>
      <c r="B28" s="3" t="s">
        <v>59</v>
      </c>
      <c r="C28" s="2" t="s">
        <v>7</v>
      </c>
      <c r="D28" s="2" t="s">
        <v>60</v>
      </c>
      <c r="E28" s="2">
        <v>945</v>
      </c>
      <c r="F28" s="2">
        <v>1.3426</v>
      </c>
      <c r="G28" s="2">
        <v>1268.7570000000001</v>
      </c>
      <c r="H28" s="2" t="s">
        <v>130</v>
      </c>
    </row>
    <row r="29" spans="1:8">
      <c r="A29" s="2">
        <v>28</v>
      </c>
      <c r="B29" s="3" t="s">
        <v>61</v>
      </c>
      <c r="C29" s="2" t="s">
        <v>7</v>
      </c>
      <c r="D29" s="2" t="s">
        <v>62</v>
      </c>
      <c r="E29" s="2">
        <v>800</v>
      </c>
      <c r="F29" s="2">
        <v>6.4000000000000001E-2</v>
      </c>
      <c r="G29" s="2">
        <v>51.2</v>
      </c>
      <c r="H29" s="2" t="s">
        <v>126</v>
      </c>
    </row>
    <row r="30" spans="1:8">
      <c r="A30" s="2">
        <v>29</v>
      </c>
      <c r="B30" s="3" t="s">
        <v>63</v>
      </c>
      <c r="C30" s="2" t="s">
        <v>7</v>
      </c>
      <c r="D30" s="2" t="s">
        <v>64</v>
      </c>
      <c r="E30" s="2">
        <v>10000</v>
      </c>
      <c r="F30" s="2">
        <v>0.16320000000000001</v>
      </c>
      <c r="G30" s="2">
        <v>1632</v>
      </c>
      <c r="H30" s="2" t="s">
        <v>126</v>
      </c>
    </row>
    <row r="31" spans="1:8">
      <c r="A31" s="2">
        <v>30</v>
      </c>
      <c r="B31" s="3" t="s">
        <v>65</v>
      </c>
      <c r="C31" s="2" t="s">
        <v>7</v>
      </c>
      <c r="D31" s="2" t="s">
        <v>66</v>
      </c>
      <c r="E31" s="2">
        <v>1200</v>
      </c>
      <c r="F31" s="2">
        <v>0.15570000000000001</v>
      </c>
      <c r="G31" s="2">
        <v>186.84</v>
      </c>
      <c r="H31" s="2" t="s">
        <v>126</v>
      </c>
    </row>
    <row r="32" spans="1:8">
      <c r="A32" s="2">
        <v>31</v>
      </c>
      <c r="B32" s="3" t="s">
        <v>67</v>
      </c>
      <c r="C32" s="2" t="s">
        <v>7</v>
      </c>
      <c r="D32" s="2" t="s">
        <v>68</v>
      </c>
      <c r="E32" s="2">
        <v>800</v>
      </c>
      <c r="F32" s="2">
        <v>0.22</v>
      </c>
      <c r="G32" s="2">
        <v>176</v>
      </c>
      <c r="H32" s="2" t="s">
        <v>131</v>
      </c>
    </row>
    <row r="33" spans="1:8">
      <c r="A33" s="2">
        <v>32</v>
      </c>
      <c r="B33" s="3" t="s">
        <v>69</v>
      </c>
      <c r="C33" s="2" t="s">
        <v>7</v>
      </c>
      <c r="D33" s="2" t="s">
        <v>70</v>
      </c>
      <c r="E33" s="2">
        <v>4000</v>
      </c>
      <c r="F33" s="2">
        <v>8.8800000000000004E-2</v>
      </c>
      <c r="G33" s="2">
        <v>355.2</v>
      </c>
      <c r="H33" s="2" t="s">
        <v>129</v>
      </c>
    </row>
    <row r="34" spans="1:8">
      <c r="A34" s="2">
        <v>33</v>
      </c>
      <c r="B34" s="3" t="s">
        <v>71</v>
      </c>
      <c r="C34" s="2" t="s">
        <v>7</v>
      </c>
      <c r="D34" s="2" t="s">
        <v>72</v>
      </c>
      <c r="E34" s="2">
        <v>3500</v>
      </c>
      <c r="F34" s="2">
        <v>2.7E-2</v>
      </c>
      <c r="G34" s="2">
        <v>94.5</v>
      </c>
      <c r="H34" s="2" t="s">
        <v>128</v>
      </c>
    </row>
    <row r="35" spans="1:8">
      <c r="A35" s="2">
        <v>34</v>
      </c>
      <c r="B35" s="3" t="s">
        <v>73</v>
      </c>
      <c r="C35" s="2" t="s">
        <v>7</v>
      </c>
      <c r="D35" s="2" t="s">
        <v>72</v>
      </c>
      <c r="E35" s="2">
        <v>5000</v>
      </c>
      <c r="F35" s="2">
        <v>0.1186</v>
      </c>
      <c r="G35" s="2">
        <v>593</v>
      </c>
      <c r="H35" s="2" t="s">
        <v>129</v>
      </c>
    </row>
    <row r="36" spans="1:8">
      <c r="A36" s="2">
        <v>35</v>
      </c>
      <c r="B36" s="3" t="s">
        <v>74</v>
      </c>
      <c r="C36" s="2" t="s">
        <v>7</v>
      </c>
      <c r="D36" s="2" t="s">
        <v>72</v>
      </c>
      <c r="E36" s="2">
        <v>28000</v>
      </c>
      <c r="F36" s="2">
        <v>8.1600000000000006E-2</v>
      </c>
      <c r="G36" s="2">
        <v>2284.8000000000002</v>
      </c>
      <c r="H36" s="2" t="s">
        <v>129</v>
      </c>
    </row>
    <row r="37" spans="1:8">
      <c r="A37" s="2">
        <v>36</v>
      </c>
      <c r="B37" s="3" t="s">
        <v>75</v>
      </c>
      <c r="C37" s="2" t="s">
        <v>7</v>
      </c>
      <c r="D37" s="2" t="s">
        <v>76</v>
      </c>
      <c r="E37" s="2">
        <v>8000</v>
      </c>
      <c r="F37" s="2">
        <v>8.5300000000000001E-2</v>
      </c>
      <c r="G37" s="2">
        <v>682.4</v>
      </c>
      <c r="H37" s="2" t="s">
        <v>128</v>
      </c>
    </row>
    <row r="38" spans="1:8">
      <c r="A38" s="2">
        <v>37</v>
      </c>
      <c r="B38" s="3" t="s">
        <v>77</v>
      </c>
      <c r="C38" s="2" t="s">
        <v>7</v>
      </c>
      <c r="D38" s="2" t="s">
        <v>76</v>
      </c>
      <c r="E38" s="2">
        <v>975</v>
      </c>
      <c r="F38" s="2">
        <v>0.25940000000000002</v>
      </c>
      <c r="G38" s="2">
        <v>252.91499999999999</v>
      </c>
      <c r="H38" s="2" t="s">
        <v>132</v>
      </c>
    </row>
    <row r="39" spans="1:8">
      <c r="A39" s="2">
        <v>38</v>
      </c>
      <c r="B39" s="3" t="s">
        <v>78</v>
      </c>
      <c r="C39" s="2" t="s">
        <v>7</v>
      </c>
      <c r="D39" s="2" t="s">
        <v>79</v>
      </c>
      <c r="E39" s="2">
        <v>1000</v>
      </c>
      <c r="F39" s="2">
        <v>8.48E-2</v>
      </c>
      <c r="G39" s="2">
        <v>84.8</v>
      </c>
      <c r="H39" s="2" t="s">
        <v>130</v>
      </c>
    </row>
    <row r="40" spans="1:8">
      <c r="A40" s="2">
        <v>39</v>
      </c>
      <c r="B40" s="3" t="s">
        <v>80</v>
      </c>
      <c r="C40" s="2" t="s">
        <v>7</v>
      </c>
      <c r="D40" s="2" t="s">
        <v>81</v>
      </c>
      <c r="E40" s="2">
        <v>3500</v>
      </c>
      <c r="F40" s="2">
        <v>9.0499999999999997E-2</v>
      </c>
      <c r="G40" s="2">
        <v>316.75</v>
      </c>
      <c r="H40" s="2" t="s">
        <v>133</v>
      </c>
    </row>
    <row r="41" spans="1:8">
      <c r="A41" s="2">
        <v>40</v>
      </c>
      <c r="B41" s="3" t="s">
        <v>82</v>
      </c>
      <c r="C41" s="2" t="s">
        <v>7</v>
      </c>
      <c r="D41" s="2" t="s">
        <v>81</v>
      </c>
      <c r="E41" s="2">
        <v>18000</v>
      </c>
      <c r="F41" s="2">
        <v>4.4499999999999998E-2</v>
      </c>
      <c r="G41" s="2">
        <v>801</v>
      </c>
      <c r="H41" s="2" t="s">
        <v>129</v>
      </c>
    </row>
    <row r="42" spans="1:8">
      <c r="A42" s="2">
        <v>41</v>
      </c>
      <c r="B42" s="3" t="s">
        <v>83</v>
      </c>
      <c r="C42" s="2" t="s">
        <v>7</v>
      </c>
      <c r="D42" s="2" t="s">
        <v>81</v>
      </c>
      <c r="E42" s="2">
        <v>300</v>
      </c>
      <c r="F42" s="2">
        <v>0.45810000000000001</v>
      </c>
      <c r="G42" s="2">
        <v>137.43</v>
      </c>
      <c r="H42" s="2" t="s">
        <v>134</v>
      </c>
    </row>
    <row r="43" spans="1:8">
      <c r="A43" s="2">
        <v>42</v>
      </c>
      <c r="B43" s="3" t="s">
        <v>84</v>
      </c>
      <c r="C43" s="2" t="s">
        <v>7</v>
      </c>
      <c r="D43" s="2" t="s">
        <v>76</v>
      </c>
      <c r="E43" s="2">
        <v>1080</v>
      </c>
      <c r="F43" s="2">
        <v>0.42330000000000001</v>
      </c>
      <c r="G43" s="2">
        <v>457.16399999999999</v>
      </c>
      <c r="H43" s="2" t="s">
        <v>133</v>
      </c>
    </row>
    <row r="44" spans="1:8">
      <c r="A44" s="2">
        <v>43</v>
      </c>
      <c r="B44" s="3" t="s">
        <v>85</v>
      </c>
      <c r="C44" s="2" t="s">
        <v>7</v>
      </c>
      <c r="D44" s="2" t="s">
        <v>86</v>
      </c>
      <c r="E44" s="2">
        <v>8</v>
      </c>
      <c r="F44" s="2">
        <v>5.9499999999999997E-2</v>
      </c>
      <c r="G44" s="2">
        <v>0.47599999999999998</v>
      </c>
      <c r="H44" s="2" t="s">
        <v>127</v>
      </c>
    </row>
    <row r="45" spans="1:8">
      <c r="A45" s="2">
        <v>44</v>
      </c>
      <c r="B45" s="3" t="s">
        <v>87</v>
      </c>
      <c r="C45" s="2" t="s">
        <v>7</v>
      </c>
      <c r="D45" s="2" t="s">
        <v>88</v>
      </c>
      <c r="E45" s="2">
        <v>26000</v>
      </c>
      <c r="F45" s="2">
        <v>2.8500000000000001E-2</v>
      </c>
      <c r="G45" s="2">
        <v>741</v>
      </c>
      <c r="H45" s="2" t="s">
        <v>126</v>
      </c>
    </row>
    <row r="46" spans="1:8">
      <c r="A46" s="2">
        <v>45</v>
      </c>
      <c r="B46" s="3" t="s">
        <v>89</v>
      </c>
      <c r="C46" s="2" t="s">
        <v>7</v>
      </c>
      <c r="D46" s="2" t="s">
        <v>90</v>
      </c>
      <c r="E46" s="2">
        <v>22500</v>
      </c>
      <c r="F46" s="2">
        <v>5.9799999999999999E-2</v>
      </c>
      <c r="G46" s="2">
        <v>1345.5</v>
      </c>
      <c r="H46" s="2" t="s">
        <v>135</v>
      </c>
    </row>
    <row r="47" spans="1:8">
      <c r="A47" s="2">
        <v>46</v>
      </c>
      <c r="B47" s="3" t="s">
        <v>91</v>
      </c>
      <c r="C47" s="2" t="s">
        <v>7</v>
      </c>
      <c r="D47" s="2" t="s">
        <v>92</v>
      </c>
      <c r="E47" s="2">
        <v>150000</v>
      </c>
      <c r="F47" s="2">
        <v>2.3900000000000001E-2</v>
      </c>
      <c r="G47" s="2">
        <v>3585</v>
      </c>
      <c r="H47" s="2" t="s">
        <v>126</v>
      </c>
    </row>
    <row r="48" spans="1:8">
      <c r="A48" s="2">
        <v>47</v>
      </c>
      <c r="B48" s="3" t="s">
        <v>93</v>
      </c>
      <c r="C48" s="2" t="s">
        <v>7</v>
      </c>
      <c r="D48" s="2" t="s">
        <v>94</v>
      </c>
      <c r="E48" s="2">
        <v>42000</v>
      </c>
      <c r="F48" s="2">
        <v>1.14E-2</v>
      </c>
      <c r="G48" s="2">
        <v>478.8</v>
      </c>
      <c r="H48" s="2" t="s">
        <v>136</v>
      </c>
    </row>
    <row r="49" spans="1:8">
      <c r="A49" s="2">
        <v>48</v>
      </c>
      <c r="B49" s="3" t="s">
        <v>95</v>
      </c>
      <c r="C49" s="2" t="s">
        <v>7</v>
      </c>
      <c r="D49" s="2" t="s">
        <v>96</v>
      </c>
      <c r="E49" s="2">
        <v>80000</v>
      </c>
      <c r="F49" s="2">
        <v>1.7399999999999999E-2</v>
      </c>
      <c r="G49" s="2">
        <v>1392</v>
      </c>
      <c r="H49" s="2" t="s">
        <v>128</v>
      </c>
    </row>
    <row r="50" spans="1:8">
      <c r="A50" s="2">
        <v>49</v>
      </c>
      <c r="B50" s="3" t="s">
        <v>97</v>
      </c>
      <c r="C50" s="2" t="s">
        <v>7</v>
      </c>
      <c r="D50" s="2" t="s">
        <v>98</v>
      </c>
      <c r="E50" s="2">
        <v>6000</v>
      </c>
      <c r="F50" s="2">
        <v>2.69E-2</v>
      </c>
      <c r="G50" s="2">
        <v>161.4</v>
      </c>
      <c r="H50" s="2" t="s">
        <v>126</v>
      </c>
    </row>
    <row r="51" spans="1:8">
      <c r="A51" s="2">
        <v>50</v>
      </c>
      <c r="B51" s="3" t="s">
        <v>99</v>
      </c>
      <c r="C51" s="2" t="s">
        <v>7</v>
      </c>
      <c r="D51" s="2" t="s">
        <v>100</v>
      </c>
      <c r="E51" s="2">
        <v>20000</v>
      </c>
      <c r="F51" s="2">
        <v>1.9400000000000001E-2</v>
      </c>
      <c r="G51" s="2">
        <v>388</v>
      </c>
      <c r="H51" s="2" t="s">
        <v>128</v>
      </c>
    </row>
    <row r="52" spans="1:8">
      <c r="A52" s="2">
        <v>51</v>
      </c>
      <c r="B52" s="3" t="s">
        <v>101</v>
      </c>
      <c r="C52" s="2" t="s">
        <v>7</v>
      </c>
      <c r="D52" s="2" t="s">
        <v>102</v>
      </c>
      <c r="E52" s="2">
        <v>100</v>
      </c>
      <c r="F52" s="2">
        <v>1.04E-2</v>
      </c>
      <c r="G52" s="2">
        <v>1.04</v>
      </c>
      <c r="H52" s="2" t="s">
        <v>128</v>
      </c>
    </row>
    <row r="53" spans="1:8">
      <c r="A53" s="2">
        <v>52</v>
      </c>
      <c r="B53" s="3" t="s">
        <v>103</v>
      </c>
      <c r="C53" s="2" t="s">
        <v>7</v>
      </c>
      <c r="D53" s="2" t="s">
        <v>104</v>
      </c>
      <c r="E53" s="2">
        <v>4000</v>
      </c>
      <c r="F53" s="2">
        <v>1.55E-2</v>
      </c>
      <c r="G53" s="2">
        <v>62</v>
      </c>
      <c r="H53" s="2" t="s">
        <v>132</v>
      </c>
    </row>
    <row r="54" spans="1:8">
      <c r="A54" s="2">
        <v>53</v>
      </c>
      <c r="B54" s="3" t="s">
        <v>105</v>
      </c>
      <c r="C54" s="2" t="s">
        <v>7</v>
      </c>
      <c r="D54" s="2" t="s">
        <v>106</v>
      </c>
      <c r="E54" s="2">
        <v>790</v>
      </c>
      <c r="F54" s="2">
        <v>1.11E-2</v>
      </c>
      <c r="G54" s="2">
        <v>8.7690000000000001</v>
      </c>
      <c r="H54" s="2" t="s">
        <v>128</v>
      </c>
    </row>
    <row r="55" spans="1:8">
      <c r="A55" s="2">
        <v>54</v>
      </c>
      <c r="B55" s="3" t="s">
        <v>111</v>
      </c>
      <c r="C55" s="2" t="s">
        <v>7</v>
      </c>
      <c r="D55" s="2" t="s">
        <v>112</v>
      </c>
      <c r="E55" s="2">
        <v>300</v>
      </c>
      <c r="F55" s="2">
        <v>0.01</v>
      </c>
      <c r="G55" s="2">
        <v>3</v>
      </c>
      <c r="H55" s="2" t="s">
        <v>127</v>
      </c>
    </row>
    <row r="56" spans="1:8">
      <c r="A56" s="2">
        <v>55</v>
      </c>
      <c r="B56" s="3" t="s">
        <v>113</v>
      </c>
      <c r="C56" s="2" t="s">
        <v>7</v>
      </c>
      <c r="D56" s="2" t="s">
        <v>114</v>
      </c>
      <c r="E56" s="2">
        <v>1728</v>
      </c>
      <c r="F56" s="2">
        <v>0.79449999999999998</v>
      </c>
      <c r="G56" s="2">
        <v>1372.896</v>
      </c>
      <c r="H56" s="2" t="s">
        <v>126</v>
      </c>
    </row>
    <row r="57" spans="1:8">
      <c r="A57" s="2">
        <v>56</v>
      </c>
      <c r="B57" s="3" t="s">
        <v>115</v>
      </c>
      <c r="C57" s="2" t="s">
        <v>7</v>
      </c>
      <c r="D57" s="2" t="s">
        <v>116</v>
      </c>
      <c r="E57" s="2">
        <v>24000</v>
      </c>
      <c r="F57" s="2">
        <v>6.6799999999999998E-2</v>
      </c>
      <c r="G57" s="2">
        <v>1603.2</v>
      </c>
      <c r="H57" s="2" t="s">
        <v>129</v>
      </c>
    </row>
    <row r="58" spans="1:8">
      <c r="A58" s="2">
        <v>57</v>
      </c>
      <c r="B58" s="3" t="s">
        <v>117</v>
      </c>
      <c r="C58" s="2" t="s">
        <v>7</v>
      </c>
      <c r="D58" s="2" t="s">
        <v>116</v>
      </c>
      <c r="E58" s="2">
        <v>10000</v>
      </c>
      <c r="F58" s="2">
        <v>9.4200000000000006E-2</v>
      </c>
      <c r="G58" s="2">
        <v>942</v>
      </c>
      <c r="H58" s="2" t="s">
        <v>129</v>
      </c>
    </row>
    <row r="59" spans="1:8">
      <c r="A59" s="2">
        <v>58</v>
      </c>
      <c r="B59" s="3" t="s">
        <v>118</v>
      </c>
      <c r="C59" s="2" t="s">
        <v>7</v>
      </c>
      <c r="D59" s="2" t="s">
        <v>119</v>
      </c>
      <c r="E59" s="2">
        <v>1000</v>
      </c>
      <c r="F59" s="2">
        <v>0.1986</v>
      </c>
      <c r="G59" s="2">
        <v>198.6</v>
      </c>
      <c r="H59" s="2" t="s">
        <v>129</v>
      </c>
    </row>
    <row r="60" spans="1:8">
      <c r="A60" s="4" t="s">
        <v>120</v>
      </c>
      <c r="B60" s="4"/>
      <c r="C60" s="4"/>
      <c r="D60" s="4"/>
      <c r="E60" s="5">
        <f>SUM(E2:E59)</f>
        <v>522549</v>
      </c>
      <c r="F60" s="6"/>
      <c r="G60" s="6">
        <f>SUM(G2:G59)</f>
        <v>53058.292500000003</v>
      </c>
      <c r="H60" s="4"/>
    </row>
  </sheetData>
  <pageMargins left="0.75" right="0.75" top="1" bottom="1" header="0.5" footer="0.5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856C-E115-4782-8C1C-F910E1B796DD}">
  <dimension ref="A1:H4"/>
  <sheetViews>
    <sheetView zoomScaleNormal="100" workbookViewId="0">
      <selection activeCell="K29" sqref="K29"/>
    </sheetView>
  </sheetViews>
  <sheetFormatPr defaultRowHeight="15"/>
  <cols>
    <col min="1" max="1" width="6.85546875" bestFit="1" customWidth="1"/>
    <col min="2" max="2" width="11.140625" customWidth="1"/>
    <col min="3" max="3" width="6" customWidth="1"/>
    <col min="4" max="4" width="34" customWidth="1"/>
    <col min="5" max="5" width="11.42578125" customWidth="1"/>
    <col min="6" max="6" width="10.28515625" customWidth="1"/>
    <col min="7" max="7" width="13.42578125" customWidth="1"/>
    <col min="8" max="8" width="9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124</v>
      </c>
    </row>
    <row r="2" spans="1:8">
      <c r="A2" s="2">
        <v>1</v>
      </c>
      <c r="B2" s="3" t="s">
        <v>138</v>
      </c>
      <c r="C2" s="2" t="s">
        <v>7</v>
      </c>
      <c r="D2" s="2" t="s">
        <v>108</v>
      </c>
      <c r="E2" s="2">
        <v>60</v>
      </c>
      <c r="F2" s="2">
        <v>93.775999999999996</v>
      </c>
      <c r="G2" s="2">
        <v>5626.56</v>
      </c>
      <c r="H2" s="2" t="s">
        <v>128</v>
      </c>
    </row>
    <row r="3" spans="1:8">
      <c r="A3" s="2">
        <v>2</v>
      </c>
      <c r="B3" s="3" t="s">
        <v>137</v>
      </c>
      <c r="C3" s="2" t="s">
        <v>7</v>
      </c>
      <c r="D3" s="2" t="s">
        <v>110</v>
      </c>
      <c r="E3" s="2">
        <v>101</v>
      </c>
      <c r="F3" s="2">
        <v>5.9739000000000004</v>
      </c>
      <c r="G3" s="2">
        <v>603.36389999999994</v>
      </c>
      <c r="H3" s="2" t="s">
        <v>128</v>
      </c>
    </row>
    <row r="4" spans="1:8">
      <c r="A4" s="4" t="s">
        <v>120</v>
      </c>
      <c r="B4" s="4"/>
      <c r="C4" s="4"/>
      <c r="D4" s="4"/>
      <c r="E4" s="4">
        <f>SUM(E2:E3)</f>
        <v>161</v>
      </c>
      <c r="F4" s="4"/>
      <c r="G4" s="6">
        <f>SUM(G2:G3)</f>
        <v>6229.9239000000007</v>
      </c>
      <c r="H4" s="4"/>
    </row>
  </sheetData>
  <autoFilter ref="A1:H4" xr:uid="{8204856C-E115-4782-8C1C-F910E1B796DD}"/>
  <pageMargins left="0.75" right="0.75" top="1" bottom="1" header="0.5" footer="0.5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(PK-DJG-2518-02)InvoiceDetail</vt:lpstr>
      <vt:lpstr>E21</vt:lpstr>
      <vt:lpstr>G13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Dain.Kim</dc:creator>
  <cp:lastModifiedBy>Administrator</cp:lastModifiedBy>
  <cp:lastPrinted>2025-05-08T02:49:29Z</cp:lastPrinted>
  <dcterms:created xsi:type="dcterms:W3CDTF">2025-04-24T02:07:13Z</dcterms:created>
  <dcterms:modified xsi:type="dcterms:W3CDTF">2025-05-10T01:55:40Z</dcterms:modified>
</cp:coreProperties>
</file>