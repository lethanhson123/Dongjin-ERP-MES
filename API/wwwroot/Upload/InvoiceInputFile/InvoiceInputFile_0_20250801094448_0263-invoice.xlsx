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92.168.100.192\phong logistics\public\1. IMPORT\2025\3. ZDA\05.MAY\0263\"/>
    </mc:Choice>
  </mc:AlternateContent>
  <xr:revisionPtr revIDLastSave="0" documentId="13_ncr:1_{76A0BCF1-9F06-4208-A7F4-364B75C784C4}" xr6:coauthVersionLast="47" xr6:coauthVersionMax="47" xr10:uidLastSave="{00000000-0000-0000-0000-000000000000}"/>
  <bookViews>
    <workbookView xWindow="-60" yWindow="-60" windowWidth="28920" windowHeight="15600" tabRatio="587" xr2:uid="{00000000-000D-0000-FFFF-FFFF00000000}"/>
  </bookViews>
  <sheets>
    <sheet name="Invoice" sheetId="39" r:id="rId1"/>
    <sheet name="Packing 1" sheetId="40" r:id="rId2"/>
  </sheets>
  <externalReferences>
    <externalReference r:id="rId3"/>
    <externalReference r:id="rId4"/>
    <externalReference r:id="rId5"/>
  </externalReferences>
  <definedNames>
    <definedName name="_xlnm._FilterDatabase" localSheetId="0" hidden="1">Invoice!$A$23:$Z$461</definedName>
    <definedName name="_xlnm._FilterDatabase" localSheetId="1" hidden="1">'Packing 1'!$A$26:$R$464</definedName>
    <definedName name="_Order1" hidden="1">255</definedName>
    <definedName name="_Order2" hidden="1">0</definedName>
    <definedName name="DFDF" localSheetId="0">Invoice!DFDF</definedName>
    <definedName name="DFDF" localSheetId="1">'Packing 1'!DFDF</definedName>
    <definedName name="DFDF">Invoice!DFDF</definedName>
    <definedName name="dsffdssd" localSheetId="0">Invoice!dsffdssd</definedName>
    <definedName name="dsffdssd" localSheetId="1">'Packing 1'!dsffdssd</definedName>
    <definedName name="dsffdssd">Invoice!dsffdssd</definedName>
    <definedName name="GotoStudio" localSheetId="0">Invoice!GotoStudio</definedName>
    <definedName name="GotoStudio" localSheetId="1">'Packing 1'!GotoStudio</definedName>
    <definedName name="GotoStudio">Invoice!GotoStudio</definedName>
    <definedName name="GOTOSTUDIO2" localSheetId="0">Invoice!GOTOSTUDIO2</definedName>
    <definedName name="GOTOSTUDIO2" localSheetId="1">'Packing 1'!GOTOSTUDIO2</definedName>
    <definedName name="GOTOSTUDIO2">Invoice!GOTOSTUDIO2</definedName>
    <definedName name="GotoWorkPlace" localSheetId="0">Invoice!GotoWorkPlace</definedName>
    <definedName name="GotoWorkPlace" localSheetId="1">'Packing 1'!GotoWorkPlace</definedName>
    <definedName name="GotoWorkPlace">Invoice!GotoWorkPlace</definedName>
    <definedName name="GOTOWORKPLACE2" localSheetId="0">Invoice!GOTOWORKPLACE2</definedName>
    <definedName name="GOTOWORKPLACE2" localSheetId="1">'Packing 1'!GOTOWORKPLACE2</definedName>
    <definedName name="GOTOWORKPLACE2">Invoice!GOTOWORKPLACE2</definedName>
    <definedName name="latent">'[1]steam table'!$N$5:$Q$102</definedName>
    <definedName name="_xlnm.Print_Area" localSheetId="0">Invoice!$A$1:$Z$468</definedName>
    <definedName name="_xlnm.Print_Area" localSheetId="1">'Packing 1'!$A$1:$R$484</definedName>
    <definedName name="_xlnm.Print_Titles" localSheetId="0">Invoice!$23:$23</definedName>
    <definedName name="_xlnm.Print_Titles" localSheetId="1">'Packing 1'!$24:$25</definedName>
    <definedName name="s" localSheetId="0">Invoice!s</definedName>
    <definedName name="s" localSheetId="1">'Packing 1'!s</definedName>
    <definedName name="s">Invoice!s</definedName>
    <definedName name="SHARQ" localSheetId="0">Invoice!SHARQ</definedName>
    <definedName name="SHARQ" localSheetId="1">'Packing 1'!SHARQ</definedName>
    <definedName name="SHARQ">Invoice!SHARQ</definedName>
    <definedName name="sss" localSheetId="0">Invoice!sss</definedName>
    <definedName name="sss" localSheetId="1">'Packing 1'!sss</definedName>
    <definedName name="sss">Invoice!sss</definedName>
    <definedName name="tube_test_press1_12" localSheetId="0">#REF!</definedName>
    <definedName name="tube_test_press1_12" localSheetId="1">#REF!</definedName>
    <definedName name="tube_test_press1_12">#REF!</definedName>
    <definedName name="년">[2]년간!$G$2</definedName>
    <definedName name="요일">WEEKDAY([3]월별!$B$4)</definedName>
    <definedName name="월">#N/A</definedName>
    <definedName name="자리">(ROW()-7)*7+COLUMN()-1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60" i="39" l="1"/>
  <c r="W460" i="39"/>
  <c r="O369" i="40"/>
  <c r="O368" i="40"/>
  <c r="O367" i="40"/>
  <c r="O366" i="40"/>
  <c r="O365" i="40"/>
  <c r="O364" i="40"/>
  <c r="O363" i="40"/>
  <c r="O362" i="40"/>
  <c r="O361" i="40"/>
  <c r="O360" i="40"/>
  <c r="O359" i="40"/>
  <c r="O358" i="40"/>
  <c r="O357" i="40"/>
  <c r="O356" i="40"/>
  <c r="O355" i="40"/>
  <c r="O354" i="40"/>
  <c r="O353" i="40"/>
  <c r="O352" i="40"/>
  <c r="O351" i="40"/>
  <c r="O350" i="40"/>
  <c r="O349" i="40"/>
  <c r="O348" i="40"/>
  <c r="O347" i="40"/>
  <c r="O346" i="40"/>
  <c r="O345" i="40"/>
  <c r="O344" i="40"/>
  <c r="O343" i="40"/>
  <c r="O342" i="40"/>
  <c r="O341" i="40"/>
  <c r="O340" i="40"/>
  <c r="O339" i="40"/>
  <c r="O338" i="40"/>
  <c r="O337" i="40"/>
  <c r="O336" i="40"/>
  <c r="O335" i="40"/>
  <c r="O334" i="40"/>
  <c r="O333" i="40"/>
  <c r="O332" i="40"/>
  <c r="O331" i="40"/>
  <c r="O330" i="40"/>
  <c r="O329" i="40"/>
  <c r="O328" i="40"/>
  <c r="O327" i="40"/>
  <c r="O326" i="40"/>
  <c r="O325" i="40"/>
  <c r="O324" i="40"/>
  <c r="O323" i="40"/>
  <c r="O322" i="40"/>
  <c r="O321" i="40"/>
  <c r="O320" i="40"/>
  <c r="O319" i="40"/>
  <c r="O318" i="40"/>
  <c r="O317" i="40"/>
  <c r="O316" i="40"/>
  <c r="O315" i="40"/>
  <c r="O314" i="40"/>
  <c r="O313" i="40"/>
  <c r="O312" i="40"/>
  <c r="O311" i="40"/>
  <c r="O310" i="40"/>
  <c r="O309" i="40"/>
  <c r="O308" i="40"/>
  <c r="O307" i="40"/>
  <c r="O306" i="40"/>
  <c r="O305" i="40"/>
  <c r="O304" i="40"/>
  <c r="O303" i="40"/>
  <c r="O302" i="40"/>
  <c r="O301" i="40"/>
  <c r="O300" i="40"/>
  <c r="O299" i="40"/>
  <c r="O298" i="40"/>
  <c r="O297" i="40"/>
  <c r="O296" i="40"/>
  <c r="O295" i="40"/>
  <c r="O294" i="40"/>
  <c r="O293" i="40"/>
  <c r="O292" i="40"/>
  <c r="O291" i="40"/>
  <c r="O290" i="40"/>
  <c r="O289" i="40"/>
  <c r="O288" i="40"/>
  <c r="O287" i="40"/>
  <c r="O286" i="40"/>
  <c r="O285" i="40"/>
  <c r="O284" i="40"/>
  <c r="O283" i="40"/>
  <c r="O282" i="40"/>
  <c r="O281" i="40"/>
  <c r="O280" i="40"/>
  <c r="O279" i="40"/>
  <c r="O278" i="40"/>
  <c r="O277" i="40"/>
  <c r="O276" i="40"/>
  <c r="O275" i="40"/>
  <c r="O274" i="40"/>
  <c r="O273" i="40"/>
  <c r="O272" i="40"/>
  <c r="O271" i="40"/>
  <c r="O270" i="40"/>
  <c r="O269" i="40"/>
  <c r="O268" i="40"/>
  <c r="O267" i="40"/>
  <c r="O266" i="40"/>
  <c r="O265" i="40"/>
  <c r="O264" i="40"/>
  <c r="O263" i="40"/>
  <c r="O262" i="40"/>
  <c r="O261" i="40"/>
  <c r="O260" i="40"/>
  <c r="O259" i="40"/>
  <c r="O258" i="40"/>
  <c r="O257" i="40"/>
  <c r="O256" i="40"/>
  <c r="O255" i="40"/>
  <c r="O254" i="40"/>
  <c r="O253" i="40"/>
  <c r="O252" i="40"/>
  <c r="O251" i="40"/>
  <c r="O250" i="40"/>
  <c r="O249" i="40"/>
  <c r="O248" i="40"/>
  <c r="O247" i="40"/>
  <c r="O246" i="40"/>
  <c r="O245" i="40"/>
  <c r="O244" i="40"/>
  <c r="O243" i="40"/>
  <c r="O242" i="40"/>
  <c r="O241" i="40"/>
  <c r="O240" i="40"/>
  <c r="O239" i="40"/>
  <c r="O238" i="40"/>
  <c r="O237" i="40"/>
  <c r="O236" i="40"/>
  <c r="O235" i="40"/>
  <c r="O234" i="40"/>
  <c r="O233" i="40"/>
  <c r="O232" i="40"/>
  <c r="O231" i="40"/>
  <c r="O230" i="40"/>
  <c r="O229" i="40"/>
  <c r="O228" i="40"/>
  <c r="O227" i="40"/>
  <c r="O226" i="40"/>
  <c r="O225" i="40"/>
  <c r="O224" i="40"/>
  <c r="O223" i="40"/>
  <c r="O222" i="40"/>
  <c r="O221" i="40"/>
  <c r="O220" i="40"/>
  <c r="O219" i="40"/>
  <c r="O218" i="40"/>
  <c r="O217" i="40"/>
  <c r="O216" i="40"/>
  <c r="O215" i="40"/>
  <c r="O214" i="40"/>
  <c r="O213" i="40"/>
  <c r="O212" i="40"/>
  <c r="O211" i="40"/>
  <c r="O210" i="40"/>
  <c r="O209" i="40"/>
  <c r="O208" i="40"/>
  <c r="O207" i="40"/>
  <c r="O206" i="40"/>
  <c r="O205" i="40"/>
  <c r="O204" i="40"/>
  <c r="O203" i="40"/>
  <c r="O202" i="40"/>
  <c r="O201" i="40"/>
  <c r="O200" i="40"/>
  <c r="O199" i="40"/>
  <c r="O198" i="40"/>
  <c r="O197" i="40"/>
  <c r="O196" i="40"/>
  <c r="O195" i="40"/>
  <c r="O194" i="40"/>
  <c r="O193" i="40"/>
  <c r="O192" i="40"/>
  <c r="O191" i="40"/>
  <c r="O190" i="40"/>
  <c r="O189" i="40"/>
  <c r="O188" i="40"/>
  <c r="O187" i="40"/>
  <c r="O186" i="40"/>
  <c r="O185" i="40"/>
  <c r="O184" i="40"/>
  <c r="O183" i="40"/>
  <c r="O182" i="40"/>
  <c r="O181" i="40"/>
  <c r="O180" i="40"/>
  <c r="O179" i="40"/>
  <c r="O178" i="40"/>
  <c r="O177" i="40"/>
  <c r="O176" i="40"/>
  <c r="O175" i="40"/>
  <c r="O174" i="40"/>
  <c r="O173" i="40"/>
  <c r="O172" i="40"/>
  <c r="O171" i="40"/>
  <c r="O170" i="40"/>
  <c r="O169" i="40"/>
  <c r="O168" i="40"/>
  <c r="O167" i="40"/>
  <c r="O166" i="40"/>
  <c r="O165" i="40"/>
  <c r="O164" i="40"/>
  <c r="O163" i="40"/>
  <c r="O162" i="40"/>
  <c r="O161" i="40"/>
  <c r="O160" i="40"/>
  <c r="O159" i="40"/>
  <c r="O158" i="40"/>
  <c r="O157" i="40"/>
  <c r="O156" i="40"/>
  <c r="O155" i="40"/>
  <c r="O154" i="40"/>
  <c r="O153" i="40"/>
  <c r="O152" i="40"/>
  <c r="O151" i="40"/>
  <c r="O150" i="40"/>
  <c r="O149" i="40"/>
  <c r="O148" i="40"/>
  <c r="O147" i="40"/>
  <c r="O146" i="40"/>
  <c r="O145" i="40"/>
  <c r="O144" i="40"/>
  <c r="O143" i="40"/>
  <c r="O142" i="40"/>
  <c r="O141" i="40"/>
  <c r="O140" i="40"/>
  <c r="O139" i="40"/>
  <c r="O138" i="40"/>
  <c r="O137" i="40"/>
  <c r="O136" i="40"/>
  <c r="O135" i="40"/>
  <c r="O134" i="40"/>
  <c r="O133" i="40"/>
  <c r="O132" i="40"/>
  <c r="O131" i="40"/>
  <c r="O130" i="40"/>
  <c r="O129" i="40"/>
  <c r="O128" i="40"/>
  <c r="O127" i="40"/>
  <c r="O126" i="40"/>
  <c r="O125" i="40"/>
  <c r="O124" i="40"/>
  <c r="O123" i="40"/>
  <c r="O122" i="40"/>
  <c r="O121" i="40"/>
  <c r="O120" i="40"/>
  <c r="O119" i="40"/>
  <c r="O118" i="40"/>
  <c r="O117" i="40"/>
  <c r="O116" i="40"/>
  <c r="O115" i="40"/>
  <c r="O114" i="40"/>
  <c r="O113" i="40"/>
  <c r="O112" i="40"/>
  <c r="O111" i="40"/>
  <c r="O110" i="40"/>
  <c r="O109" i="40"/>
  <c r="O108" i="40"/>
  <c r="O107" i="40"/>
  <c r="O106" i="40"/>
  <c r="O105" i="40"/>
  <c r="O104" i="40"/>
  <c r="O103" i="40"/>
  <c r="O102" i="40"/>
  <c r="O101" i="40"/>
  <c r="O100" i="40"/>
  <c r="O99" i="40"/>
  <c r="O98" i="40"/>
  <c r="O97" i="40"/>
  <c r="O96" i="40"/>
  <c r="O95" i="40"/>
  <c r="O94" i="40"/>
  <c r="O93" i="40"/>
  <c r="O92" i="40"/>
  <c r="O91" i="40"/>
  <c r="O90" i="40"/>
  <c r="O89" i="40"/>
  <c r="O88" i="40"/>
  <c r="O87" i="40"/>
  <c r="O86" i="40"/>
  <c r="O85" i="40"/>
  <c r="O84" i="40"/>
  <c r="O83" i="40"/>
  <c r="O82" i="40"/>
  <c r="O81" i="40"/>
  <c r="O80" i="40"/>
  <c r="O79" i="40"/>
  <c r="O78" i="40"/>
  <c r="O77" i="40"/>
  <c r="O76" i="40"/>
  <c r="O75" i="40"/>
  <c r="O74" i="40"/>
  <c r="O73" i="40"/>
  <c r="O72" i="40"/>
  <c r="O71" i="40"/>
  <c r="O70" i="40"/>
  <c r="O69" i="40"/>
  <c r="O68" i="40"/>
  <c r="O67" i="40"/>
  <c r="O66" i="40"/>
  <c r="O65" i="40"/>
  <c r="O64" i="40"/>
  <c r="O63" i="40"/>
  <c r="O455" i="40" l="1"/>
  <c r="O454" i="40"/>
  <c r="O453" i="40"/>
  <c r="O452" i="40"/>
  <c r="O451" i="40"/>
  <c r="O450" i="40"/>
  <c r="O449" i="40"/>
  <c r="O448" i="40"/>
  <c r="O447" i="40"/>
  <c r="O446" i="40"/>
  <c r="O445" i="40"/>
  <c r="O444" i="40"/>
  <c r="O443" i="40"/>
  <c r="O442" i="40"/>
  <c r="O441" i="40"/>
  <c r="O440" i="40"/>
  <c r="O439" i="40"/>
  <c r="O438" i="40"/>
  <c r="O437" i="40"/>
  <c r="O436" i="40"/>
  <c r="O435" i="40"/>
  <c r="O434" i="40"/>
  <c r="O433" i="40"/>
  <c r="O432" i="40"/>
  <c r="O431" i="40"/>
  <c r="O430" i="40"/>
  <c r="O429" i="40"/>
  <c r="O428" i="40"/>
  <c r="O427" i="40"/>
  <c r="O426" i="40"/>
  <c r="O425" i="40"/>
  <c r="O424" i="40"/>
  <c r="O423" i="40"/>
  <c r="O422" i="40"/>
  <c r="O421" i="40"/>
  <c r="O420" i="40"/>
  <c r="O419" i="40"/>
  <c r="O418" i="40"/>
  <c r="O417" i="40"/>
  <c r="O416" i="40"/>
  <c r="O415" i="40"/>
  <c r="O414" i="40"/>
  <c r="O413" i="40"/>
  <c r="O412" i="40"/>
  <c r="O411" i="40"/>
  <c r="O410" i="40"/>
  <c r="O409" i="40"/>
  <c r="O408" i="40"/>
  <c r="O407" i="40"/>
  <c r="O406" i="40"/>
  <c r="O405" i="40"/>
  <c r="O404" i="40"/>
  <c r="O403" i="40"/>
  <c r="O402" i="40"/>
  <c r="O401" i="40"/>
  <c r="O400" i="40"/>
  <c r="O399" i="40"/>
  <c r="O398" i="40"/>
  <c r="O397" i="40"/>
  <c r="O396" i="40"/>
  <c r="O395" i="40"/>
  <c r="O394" i="40"/>
  <c r="O393" i="40"/>
  <c r="O392" i="40"/>
  <c r="O391" i="40"/>
  <c r="O390" i="40"/>
  <c r="O389" i="40"/>
  <c r="O388" i="40"/>
  <c r="O387" i="40"/>
  <c r="O386" i="40"/>
  <c r="O385" i="40"/>
  <c r="O384" i="40"/>
  <c r="O383" i="40"/>
  <c r="O382" i="40"/>
  <c r="O381" i="40"/>
  <c r="O380" i="40"/>
  <c r="O379" i="40"/>
  <c r="O378" i="40"/>
  <c r="O377" i="40"/>
  <c r="O376" i="40"/>
  <c r="O375" i="40"/>
  <c r="O374" i="40"/>
  <c r="O373" i="40"/>
  <c r="O372" i="40"/>
  <c r="O371" i="40"/>
  <c r="O370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 l="1"/>
  <c r="O37" i="40"/>
  <c r="O36" i="40"/>
  <c r="O35" i="40" l="1"/>
  <c r="O34" i="40"/>
  <c r="O33" i="40"/>
  <c r="O32" i="40"/>
  <c r="O31" i="40" l="1"/>
  <c r="L466" i="40" l="1"/>
  <c r="O27" i="40" l="1"/>
  <c r="O28" i="40"/>
  <c r="O29" i="40"/>
  <c r="O30" i="40"/>
  <c r="O26" i="40"/>
</calcChain>
</file>

<file path=xl/sharedStrings.xml><?xml version="1.0" encoding="utf-8"?>
<sst xmlns="http://schemas.openxmlformats.org/spreadsheetml/2006/main" count="3100" uniqueCount="945">
  <si>
    <t>COMMERCIAL INVOICE</t>
  </si>
  <si>
    <t>1. Shipper/Exporter</t>
  </si>
  <si>
    <t xml:space="preserve"> 10. No. &amp; Date of invoice</t>
  </si>
  <si>
    <t>2. Consignee</t>
  </si>
  <si>
    <t>11. Remarks</t>
  </si>
  <si>
    <t>DongJin Global Limited.</t>
  </si>
  <si>
    <t>3. Notify party</t>
  </si>
  <si>
    <t>4. Port of Loading</t>
  </si>
  <si>
    <t>5. Port of Discharging</t>
  </si>
  <si>
    <t>6. Final Destination</t>
  </si>
  <si>
    <t>7. Carrier</t>
  </si>
  <si>
    <t>8. Voyage No.</t>
  </si>
  <si>
    <t>9. Sailing on or about</t>
  </si>
  <si>
    <t>12. Marks &amp; NO. of PKGS</t>
  </si>
  <si>
    <t>13. Description of Goods</t>
  </si>
  <si>
    <t>14. Unit</t>
  </si>
  <si>
    <t>15.Q'ty</t>
  </si>
  <si>
    <t>16. Unit-Price
(USD)</t>
  </si>
  <si>
    <t>17. Amount 
(USD)</t>
  </si>
  <si>
    <t>EA</t>
  </si>
  <si>
    <t>MIRCO-TIMER-2 BLANKI(TE 963631-1)</t>
  </si>
  <si>
    <t>T50ROSEC4A</t>
  </si>
  <si>
    <t>2.8MM 12P(F) HSG SMALL TYPE</t>
  </si>
  <si>
    <t>MQS CLEAN BODY DUMMY(TE 1897421-2)</t>
  </si>
  <si>
    <t>LSK 8.0 1P(F) HSG B-CODE BLACK</t>
  </si>
  <si>
    <t>CABLE TIE 200mm BLACK</t>
  </si>
  <si>
    <t>METRI PACK 150 SERIES 2P(F) SEALED TPA-(839155)</t>
  </si>
  <si>
    <t>C200 ENG-MAIN O2SNSER 6P(F) SEAL HSG</t>
  </si>
  <si>
    <t>2.8MM BDK SEAL 3P(F) HSG CODE 1 BLACK</t>
  </si>
  <si>
    <t>C200 ENG-MAIN OIL PRESS S/W 1P(F) SEAL H</t>
  </si>
  <si>
    <t>HV/HVG SEALED SERIES 2P(F) HSG RETAINER</t>
  </si>
  <si>
    <t>MCON 1.2 SEAL 3(F) HSG KEYING A BLACK</t>
  </si>
  <si>
    <t>62 E-TYPE 4P(F) HSG RETAINER</t>
  </si>
  <si>
    <t>62 E-TYPE 4P(F) HSG GY(GRAY)</t>
  </si>
  <si>
    <t>ECONO-J MARK-2+ 2P(F</t>
  </si>
  <si>
    <t>NDWP 2P HSG RET</t>
  </si>
  <si>
    <t>CARRIER ECU HSG 60(F) ASSY</t>
  </si>
  <si>
    <t>CARRIER ECU HSG 60(F) RETAINER</t>
  </si>
  <si>
    <t>B/CABLE</t>
  </si>
  <si>
    <t>B/C 165mm A2-TYPE 0.7-1.3T-2단, 1.4-2.0-1단 BLACK</t>
  </si>
  <si>
    <t>312-2 WP 1P(F) HOUSING</t>
  </si>
  <si>
    <t>NMWP 4P HSG RETAINER</t>
  </si>
  <si>
    <t>C-280 WP MTA VIOLET 3F HS/G</t>
  </si>
  <si>
    <t>NEW MWP CONN 4P(F) GRAY COLOR</t>
  </si>
  <si>
    <t>MT-2,JPT SEAL TYPE 3</t>
  </si>
  <si>
    <t>MT2S 6P(F) HSG</t>
  </si>
  <si>
    <t>090 SEAL HSG2P</t>
  </si>
  <si>
    <t>J-P-T 2P(F) HS-G SEA</t>
  </si>
  <si>
    <t>INJECTOR 2P(F) HSG</t>
  </si>
  <si>
    <t>METRI PACK 150 SEAL 2P(F) HSG MD-GRAY(832232)</t>
  </si>
  <si>
    <t>B/C 172mm B-TYPE 2.1-3.1T D/GRAY</t>
  </si>
  <si>
    <t>CARRIER ECU HSG 60(F) COVER</t>
  </si>
  <si>
    <t>B/C-J-BLCK-5</t>
  </si>
  <si>
    <t>CARRIER ECU HSG 60(F) LEVER</t>
  </si>
  <si>
    <t>Ø 09 Corrugatde Tub</t>
  </si>
  <si>
    <t>MT</t>
  </si>
  <si>
    <t>0.13mm(T)x19mm(W)x20m(L)</t>
  </si>
  <si>
    <t>HEAT COTTON TAPE 25*15</t>
  </si>
  <si>
    <t>HEAT COTTON TAPE 19*15</t>
  </si>
  <si>
    <t>Signed by</t>
  </si>
  <si>
    <t>PACKING LIST</t>
  </si>
  <si>
    <t xml:space="preserve">12. Marks &amp;  No. of Pallets </t>
  </si>
  <si>
    <t xml:space="preserve">14. Q'ty </t>
  </si>
  <si>
    <t xml:space="preserve"> PKG</t>
  </si>
  <si>
    <t xml:space="preserve"> </t>
  </si>
  <si>
    <t>DMT2-WSP</t>
  </si>
  <si>
    <t>28SU12F</t>
  </si>
  <si>
    <t>GPB01FNB</t>
  </si>
  <si>
    <t>EJ2-DL02F</t>
  </si>
  <si>
    <t>CLBC-17A2B</t>
  </si>
  <si>
    <t>EJ202F</t>
  </si>
  <si>
    <t>MT2S06F</t>
  </si>
  <si>
    <t>156-00460</t>
  </si>
  <si>
    <t>23AS02F</t>
  </si>
  <si>
    <t>IJY02F</t>
  </si>
  <si>
    <t>TAHT-19B2</t>
  </si>
  <si>
    <t>THCT-253</t>
  </si>
  <si>
    <t>THCT-193</t>
  </si>
  <si>
    <t>09WP-WSP</t>
  </si>
  <si>
    <t>090-2 WIRE SEAL BLAN</t>
  </si>
  <si>
    <t>28SA05FS</t>
  </si>
  <si>
    <t>2.8MM(110) SENSER SEAL 5P(F) HSG</t>
  </si>
  <si>
    <t>28SA-DL05FS</t>
  </si>
  <si>
    <t>2.8MM(110) SENSER SEAL 5P(F) RETAINER</t>
  </si>
  <si>
    <t>CLSR-14HB</t>
  </si>
  <si>
    <t>CABLE TIE 140mm BLACK</t>
  </si>
  <si>
    <t>CLW1-STUB</t>
  </si>
  <si>
    <t>STUD CLIP150mm BLACK</t>
  </si>
  <si>
    <t>EJ2J04F</t>
  </si>
  <si>
    <t>E-J-2 4P(F) 구형</t>
  </si>
  <si>
    <t>PRTD22-EML1</t>
  </si>
  <si>
    <t>D22DTR ENG MAIN PRT LOWER</t>
  </si>
  <si>
    <t>THCO-05</t>
  </si>
  <si>
    <t>HEAT C/GATED TUBE 05(UBE)통</t>
  </si>
  <si>
    <t>15MP02FA2</t>
  </si>
  <si>
    <t>28SB03F1</t>
  </si>
  <si>
    <t>31WP01F</t>
  </si>
  <si>
    <t>62ES04FA</t>
  </si>
  <si>
    <t>80LU01FB</t>
  </si>
  <si>
    <t>C28M03FV</t>
  </si>
  <si>
    <t>JPT02F</t>
  </si>
  <si>
    <t>JPTB03F</t>
  </si>
  <si>
    <t>M12A03FB</t>
  </si>
  <si>
    <t>MJA36M</t>
  </si>
  <si>
    <t>MSS02F1</t>
  </si>
  <si>
    <t>NWP04FA</t>
  </si>
  <si>
    <t>CEH60F</t>
  </si>
  <si>
    <t>15MP-DL02F2</t>
  </si>
  <si>
    <t>62ES-DL04F</t>
  </si>
  <si>
    <t>DMCB-PLUG</t>
  </si>
  <si>
    <t>HVS-DL02F</t>
  </si>
  <si>
    <t>NDWP-DL02F</t>
  </si>
  <si>
    <t>NWP-DL04F</t>
  </si>
  <si>
    <t>CLBC-173U</t>
  </si>
  <si>
    <t>CLBC-17JB</t>
  </si>
  <si>
    <t>CLBK-S1216</t>
  </si>
  <si>
    <t>CLSR-20HB</t>
  </si>
  <si>
    <t>CLWA-01HBL</t>
  </si>
  <si>
    <t>CEH-CL60F</t>
  </si>
  <si>
    <t>CEH-DL60F</t>
  </si>
  <si>
    <t>CEH-LV60F</t>
  </si>
  <si>
    <t>3910.00-9090</t>
  </si>
  <si>
    <t>3917.29-9000</t>
  </si>
  <si>
    <t>3917.32-9000</t>
  </si>
  <si>
    <t>3923.50-0000</t>
  </si>
  <si>
    <t>3926.90-9000</t>
  </si>
  <si>
    <t>4016.93-0000</t>
  </si>
  <si>
    <t>4016.99-9000</t>
  </si>
  <si>
    <t>5906.10-0000</t>
  </si>
  <si>
    <t>8536.69-9000</t>
  </si>
  <si>
    <t>8538.90-9000</t>
  </si>
  <si>
    <t>8544.30-0000</t>
  </si>
  <si>
    <t>8708.99-9000</t>
  </si>
  <si>
    <t>HFH05F</t>
  </si>
  <si>
    <t>HFM 5P(F) HOUSING</t>
  </si>
  <si>
    <t>ZDA HARNESS</t>
    <phoneticPr fontId="8" type="noConversion"/>
  </si>
  <si>
    <t>T)053-859-0100</t>
    <phoneticPr fontId="8" type="noConversion"/>
  </si>
  <si>
    <t>F)053-859-0159</t>
    <phoneticPr fontId="8" type="noConversion"/>
  </si>
  <si>
    <t>same as above</t>
    <phoneticPr fontId="8" type="noConversion"/>
  </si>
  <si>
    <t>Terms of delivery :  CIF HOCHIMIN VIETNAM PORT</t>
    <phoneticPr fontId="4" type="noConversion"/>
  </si>
  <si>
    <t>BUSAN KOREA</t>
    <phoneticPr fontId="8" type="noConversion"/>
  </si>
  <si>
    <t>HOCHIMIN VIETNAM</t>
    <phoneticPr fontId="8" type="noConversion"/>
  </si>
  <si>
    <t>TT BASE</t>
    <phoneticPr fontId="4" type="noConversion"/>
  </si>
  <si>
    <t>ZDA HARNESS</t>
    <phoneticPr fontId="8" type="noConversion"/>
  </si>
  <si>
    <t>T)053-859-0100</t>
    <phoneticPr fontId="8" type="noConversion"/>
  </si>
  <si>
    <t>F)053-859-0159</t>
    <phoneticPr fontId="8" type="noConversion"/>
  </si>
  <si>
    <t>same as above</t>
    <phoneticPr fontId="8" type="noConversion"/>
  </si>
  <si>
    <t>Terms of delivery :  CIF HOCHIMIN VIETNAM PORT</t>
    <phoneticPr fontId="4" type="noConversion"/>
  </si>
  <si>
    <t>HOCHIMIN Vietnam</t>
    <phoneticPr fontId="8" type="noConversion"/>
  </si>
  <si>
    <t>TT BASE</t>
    <phoneticPr fontId="4" type="noConversion"/>
  </si>
  <si>
    <t>ELECTRONIC OTHER PARTS</t>
    <phoneticPr fontId="4" type="noConversion"/>
  </si>
  <si>
    <t>12APD02FC</t>
  </si>
  <si>
    <t>APEX 1.2MM 2P(F) HSG CPA KEY A BLACK</t>
  </si>
  <si>
    <t>28APD03FB</t>
  </si>
  <si>
    <t>APEX 2.8MM 3P(F) HSG WITH OUT CPA  BLACK(F731210)</t>
  </si>
  <si>
    <t>28SB02F</t>
  </si>
  <si>
    <t>compact connector 1.1 2-way</t>
  </si>
  <si>
    <t>28SB03F</t>
  </si>
  <si>
    <t>2.8MM BDK SEAL 3P(F) HSG</t>
  </si>
  <si>
    <t>28SB04F</t>
  </si>
  <si>
    <t>2.8MM BDK SEAL 4P(F) HSG</t>
  </si>
  <si>
    <t>ARMA06FS1</t>
  </si>
  <si>
    <t>064MM SEALED 6(F)  CODE "A" HSG(ARM PLUG ASSY)</t>
  </si>
  <si>
    <t>CLBC-17W1B</t>
  </si>
  <si>
    <t>B/C 154mm W1-TYPE 1.6-2.2T(2F), 2.3-3.1T</t>
  </si>
  <si>
    <t>CLBH-S0717B</t>
  </si>
  <si>
    <t>BUNDLE 1.6~30mm HOLE 7~12 T0.6~3.2 BLACK SLOT 170</t>
  </si>
  <si>
    <t>CLBH-S0718</t>
  </si>
  <si>
    <t>BUNDLE 1.6~30mm HOLE 7~12 T0.7~5.2 BLACK SLOT 180</t>
  </si>
  <si>
    <t>CLWA-01HBI</t>
  </si>
  <si>
    <t>EDGE CLIP</t>
  </si>
  <si>
    <t>ECONO-J MARK-2+ 12P(</t>
  </si>
  <si>
    <t>M12A02FC</t>
  </si>
  <si>
    <t>MCON 1.2 SEAL 2(F) HSG KEYING A"" BROWN +CPA""</t>
  </si>
  <si>
    <t>M12A03F-A</t>
  </si>
  <si>
    <t>M12A05FB</t>
  </si>
  <si>
    <t>MCON 1.2 SEAL 5P(F) INNER HOUSING BLACK CODE "A"</t>
  </si>
  <si>
    <t>RHYZ02FB</t>
  </si>
  <si>
    <t>RH 064(025) TYPE SEAL 2P(F) HSG BLACK</t>
  </si>
  <si>
    <t>PRTC3-EMG15</t>
  </si>
  <si>
    <t>C300 ENG MAIN GSL(G15DTF) PROTECTOR</t>
  </si>
  <si>
    <t>8. Voyage No.</t>
    <phoneticPr fontId="4" type="noConversion"/>
  </si>
  <si>
    <t>9. Sailing on or about</t>
    <phoneticPr fontId="4" type="noConversion"/>
  </si>
  <si>
    <t>09P08FDB</t>
  </si>
  <si>
    <t>090-2 WP 8P(F) HSG-DOWN-LEFT-BLACK SEAL</t>
  </si>
  <si>
    <t>126-00169</t>
  </si>
  <si>
    <t>BAND CABLE(HOLE TYPE)</t>
  </si>
  <si>
    <t>12APD04FC</t>
  </si>
  <si>
    <t>APEX 1.2MM 4P(F) HSG</t>
  </si>
  <si>
    <t>12APD-WSP</t>
  </si>
  <si>
    <t>APEX 1.2MM DUMMY SEAL WHITE</t>
  </si>
  <si>
    <t>15SU05FC</t>
  </si>
  <si>
    <t>1.5MM EGR HSG 5P(F)+CPA RET NATURAL</t>
  </si>
  <si>
    <t>MJA-WC36M</t>
  </si>
  <si>
    <t>DONGJIN GLOBAL CO.,LTD</t>
  </si>
  <si>
    <t>18.Hscode</t>
    <phoneticPr fontId="4" type="noConversion"/>
  </si>
  <si>
    <t>RESIN TUBE 135℃8.5mm RECOVERED 1.65 ~ 1.5mm</t>
  </si>
  <si>
    <t>8547.20-0000</t>
  </si>
  <si>
    <t>28AP-2S</t>
  </si>
  <si>
    <t>NML12A-2S</t>
  </si>
  <si>
    <t>28SB-1S</t>
  </si>
  <si>
    <t>28SB-1GS</t>
  </si>
  <si>
    <t>M12A-2S</t>
  </si>
  <si>
    <t>RTTL-406</t>
  </si>
  <si>
    <t>12AP-2S</t>
  </si>
  <si>
    <t>NWP-2</t>
  </si>
  <si>
    <t>JPT-6S</t>
  </si>
  <si>
    <t>JPT-5S</t>
  </si>
  <si>
    <t>M15KA-2SG</t>
  </si>
  <si>
    <t>M16A-6S</t>
  </si>
  <si>
    <t>STY-3</t>
  </si>
  <si>
    <t>STY-2</t>
  </si>
  <si>
    <t>JPT-1S</t>
  </si>
  <si>
    <t>MQS2-1</t>
  </si>
  <si>
    <t>MQ15-2</t>
  </si>
  <si>
    <t>MQS2-2</t>
  </si>
  <si>
    <t>MT2-5S</t>
  </si>
  <si>
    <t>09P-1S</t>
  </si>
  <si>
    <t>09P-2S</t>
  </si>
  <si>
    <t>31Y2-4S</t>
  </si>
  <si>
    <t>15MP-2S</t>
  </si>
  <si>
    <t>15DC-2ST</t>
  </si>
  <si>
    <t>80LK-3S</t>
  </si>
  <si>
    <t>HY15SU-2S</t>
  </si>
  <si>
    <t>ARMA-2G</t>
  </si>
  <si>
    <t>TBHG-0650</t>
  </si>
  <si>
    <t>09P2-WS2R</t>
  </si>
  <si>
    <t>DMWP-WS1</t>
  </si>
  <si>
    <t>DMT2-WS1</t>
  </si>
  <si>
    <t>DJPT-WS1</t>
  </si>
  <si>
    <t>D09P2-WS1L</t>
  </si>
  <si>
    <t>DEJ2-WS1B</t>
  </si>
  <si>
    <t>APS-WS2</t>
  </si>
  <si>
    <t>15MP-WS2</t>
  </si>
  <si>
    <t>31Y2-WS2B</t>
  </si>
  <si>
    <t>DJPT-WS2</t>
  </si>
  <si>
    <t>IJY-WS1</t>
  </si>
  <si>
    <t>DMT2-WS0</t>
  </si>
  <si>
    <t>12APD-WS2A</t>
  </si>
  <si>
    <t>MBK-1L</t>
  </si>
  <si>
    <t>28AP-WS1G</t>
  </si>
  <si>
    <t>80LK-WS4B</t>
  </si>
  <si>
    <t>FLRYWB-07R</t>
  </si>
  <si>
    <t>FLRYWB-07RG</t>
  </si>
  <si>
    <t>FLRYWB-07RW</t>
  </si>
  <si>
    <t>FLRYWB-07WB</t>
  </si>
  <si>
    <t>FLRYWB-07Y</t>
  </si>
  <si>
    <t>FLRYWB-10BW</t>
  </si>
  <si>
    <t>FLRYWB-07NB</t>
  </si>
  <si>
    <t>FLRYWB-07N</t>
  </si>
  <si>
    <t>FLRYWB-07LG</t>
  </si>
  <si>
    <t>FLRYWB-07LB</t>
  </si>
  <si>
    <t>FLRYWB-07GY</t>
  </si>
  <si>
    <t>FLRYWB-07G</t>
  </si>
  <si>
    <t>FLRYWB-07BY</t>
  </si>
  <si>
    <t>FLRYWB-05YB</t>
  </si>
  <si>
    <t>FLRYWB-05GW</t>
  </si>
  <si>
    <t>FLRYWB-05GB</t>
  </si>
  <si>
    <t>FLRYWB-03YR</t>
  </si>
  <si>
    <t>FLRYWB-03WB</t>
  </si>
  <si>
    <t>FLRYWB-03GY</t>
  </si>
  <si>
    <t>FLRYWB-03GB</t>
  </si>
  <si>
    <t>FLRYWB-03G</t>
  </si>
  <si>
    <t>APEX 2.8MM FEMALE TML 0.5-0.85 SEAL(54001807)</t>
  </si>
  <si>
    <t>MCON 1.2 LOCKG LANCE 0.5-0.75mm SEAL</t>
  </si>
  <si>
    <t>2.8MM(110) BDK F-SEAL 0.5-1.0 TIN</t>
  </si>
  <si>
    <t>2.8MM(110) BDK F-SEAL 0.5-1.0 GOLD</t>
  </si>
  <si>
    <t>MCP 1.2-CLEAN BODY 0.5-0.75 MM TIN SEAL</t>
  </si>
  <si>
    <t>RING TERMINAL 6.4 NOCHI-TYPE 5.0-8.0 TIN</t>
  </si>
  <si>
    <t>APEX 1.2MM FEMALE TML 0.75-1.25 SQ TIN(54001864)</t>
  </si>
  <si>
    <t>NMWP-F-M 0.85-1.25mm</t>
  </si>
  <si>
    <t>J-P-T FEMALE TML 1.5mm - 2.5mm</t>
  </si>
  <si>
    <t>J-P-T FEMALE TML 0.5mm - 1.0mm</t>
  </si>
  <si>
    <t>MCP 1.5K FEMALE TML 0.5-1.0MM W/EAL TYP</t>
  </si>
  <si>
    <t>TAB CONTACT1, 6X0, 6</t>
  </si>
  <si>
    <t>SPLICE TM-L 3.0-5.3m</t>
  </si>
  <si>
    <t>SPLICE TM-L 1.5-2.5m</t>
  </si>
  <si>
    <t>J-P-T FEMALE TM-L 0.</t>
  </si>
  <si>
    <t>MQS-2TML(F) 0.3-0.5</t>
  </si>
  <si>
    <t>MQS 1.5 CLEAN BODY TML 0.75-1.5MM</t>
  </si>
  <si>
    <t>MICRO QUADLOC-SYSTEM</t>
  </si>
  <si>
    <t>Mirco-Timer-2(M) TML 0.3mm</t>
  </si>
  <si>
    <t>090-2 WP FEMALE TML</t>
  </si>
  <si>
    <t>090-2 FEMALE TML 0.8</t>
  </si>
  <si>
    <t>312-2 WP TERMINAL(F) 8.0 mm</t>
  </si>
  <si>
    <t>METRI PACK 150 SERIE(807809)</t>
  </si>
  <si>
    <t>1.5MM DCS-2 FEMALE 0.5 - 1.0 mm SEALTML (60000631)</t>
  </si>
  <si>
    <t>LSK 8.0  8.0-12.0SQ</t>
  </si>
  <si>
    <t>HY1.5mm SEAL TYPE FEMALE 0.75-1.25 TML SN</t>
  </si>
  <si>
    <t>GET FEMALE TML 0.5-0.75 GLOD</t>
  </si>
  <si>
    <t>RESIN TUBE 135℃6.3mm RECOVERED 1.27 ~ 1.2mm</t>
  </si>
  <si>
    <t>090-2 WP SEAL AVSS 0.85-1.25 RED</t>
  </si>
  <si>
    <t>MWP W-SEAL 0.3 YG(KUM RS220-01100)</t>
  </si>
  <si>
    <t>Mirco-Timer-2 SEAL DIA 1.4-1.9mm GRAY(TE 963530-1)</t>
  </si>
  <si>
    <t>J-P-T WIRE SEAL 0.3m(TE 828904-1)</t>
  </si>
  <si>
    <t>090-2 WP SEAL AVSS 0.3-0.5 BLUE(KET MG681114)</t>
  </si>
  <si>
    <t>ECONO-J MARK-2+ WIRE(TE 178210-1)</t>
  </si>
  <si>
    <t>ACCEL PEDAL SENSOR W(DH P/N SS7067-1)</t>
  </si>
  <si>
    <t>METRI PACK 150 SEALE(852141)</t>
  </si>
  <si>
    <t>312-2 WP WIRE SEAL 5</t>
  </si>
  <si>
    <t>J-P-T WIRE SEAL 0.85(TE 828905-1)</t>
  </si>
  <si>
    <t>INJECTOR SEAL</t>
  </si>
  <si>
    <t>Mirco-Timer-2 SEAL DIA 1.2 -1.6mm RED(TE964971-1)</t>
  </si>
  <si>
    <t>APEX 1.2MM FEMALE SEAL 1.6-1.9  GRAY</t>
  </si>
  <si>
    <t>MB FEMALE TML (SOLDER) LONG</t>
  </si>
  <si>
    <t>APEX 2.8MM SEAL 1.4 - 2.13 MM GREEN</t>
  </si>
  <si>
    <t>LSK 8.0  4.5-6.2 SEAL BLACK</t>
  </si>
  <si>
    <t>FLRYW-B 0.75 Red</t>
  </si>
  <si>
    <t>FLRYW-B 0.75 R/G</t>
  </si>
  <si>
    <t>FLRYW-B 0.75 R/W</t>
  </si>
  <si>
    <t>FLRYW-B 0.75 W/B</t>
  </si>
  <si>
    <t>FLRYW-B 0.75 Y</t>
  </si>
  <si>
    <t>FLRYW-B 1.00 B/W</t>
  </si>
  <si>
    <t>FLRYW-B 0.75 NB</t>
  </si>
  <si>
    <t>FLRYW-B 0.75 N</t>
  </si>
  <si>
    <t>FLRYW-B 0.75 L/G</t>
  </si>
  <si>
    <t>FLRYW-B 0.75 L/B</t>
  </si>
  <si>
    <t>FLRYW-B 0.75 G/Y</t>
  </si>
  <si>
    <t>FLRYW-B 0.75 G</t>
  </si>
  <si>
    <t>FLRYW-B 0.75 B/Y</t>
  </si>
  <si>
    <t>FLRYW-B 0.5  Y/B</t>
  </si>
  <si>
    <t>FLRYW-B 0.5  G/W</t>
  </si>
  <si>
    <t>FLRYW-B 0.5  G/B</t>
  </si>
  <si>
    <t>FLRYW-B 0.35 Y/R</t>
  </si>
  <si>
    <t>FLRYW-B 0.35 W/B</t>
  </si>
  <si>
    <t>FLRYW-B 0.35 G/Y</t>
  </si>
  <si>
    <t>FLRYW-B 0.35 G/B</t>
  </si>
  <si>
    <t>FLRYW-B 0.35 G</t>
  </si>
  <si>
    <t>8536.90-9090</t>
  </si>
  <si>
    <t>8536.41-0000</t>
  </si>
  <si>
    <t>8544.49-9090</t>
  </si>
  <si>
    <t>7006.00-9000</t>
  </si>
  <si>
    <t>TBHG-0825</t>
  </si>
  <si>
    <t>TBHG-1125</t>
  </si>
  <si>
    <t>RESIN TUBE 135℃11.9mm RECOVERED 2.41 ~ 1.9mm</t>
  </si>
  <si>
    <t>15. Unit Weight
(Kg/m)</t>
    <phoneticPr fontId="4" type="noConversion"/>
  </si>
  <si>
    <t>16. Quantity  box</t>
    <phoneticPr fontId="8" type="noConversion"/>
  </si>
  <si>
    <t>17.Net
 Weight (Kg)</t>
    <phoneticPr fontId="8" type="noConversion"/>
  </si>
  <si>
    <t>18.Gross
 Weight(Kg)</t>
    <phoneticPr fontId="8" type="noConversion"/>
  </si>
  <si>
    <t>19.Remarks</t>
    <phoneticPr fontId="8" type="noConversion"/>
  </si>
  <si>
    <t>HFH-WS1</t>
  </si>
  <si>
    <t>HFM 05F SEAL</t>
  </si>
  <si>
    <t>T30RFT5 5.9Φ 6.9MM</t>
  </si>
  <si>
    <t>GLOW PLOG 1P(F) BOSCH TYPE NEW</t>
  </si>
  <si>
    <t>MQS-SEAL 2P(F)-A-TY</t>
  </si>
  <si>
    <t>CLBH-B0716</t>
  </si>
  <si>
    <t>B/CABLE HT160SB6HE 167MM 7PIE</t>
  </si>
  <si>
    <t>TBHG-1150</t>
  </si>
  <si>
    <t>STU-4</t>
  </si>
  <si>
    <t>DMT2-WS2</t>
  </si>
  <si>
    <t>62ZS-WS1L</t>
  </si>
  <si>
    <t>FLRYWB-07GN</t>
  </si>
  <si>
    <t>SPLICE TM-L 12.4mm -</t>
  </si>
  <si>
    <t>Mirco-Timer-2SEAL DIA1.9-2.1mm YELLOW(TE 964972-1)</t>
  </si>
  <si>
    <t>62 E,Z-TYPE WIRE SEAL 1.32-1.90DIA LT BL</t>
  </si>
  <si>
    <t>FLRYW-B 0.75 G/Br</t>
  </si>
  <si>
    <t>J-P-T 3P(F) HOUSING SEAL-TYPE(BOSCH TYPE)</t>
  </si>
  <si>
    <t>025Y12F</t>
  </si>
  <si>
    <t>025Y32F2</t>
  </si>
  <si>
    <t>029Y30F</t>
  </si>
  <si>
    <t>07A02F</t>
  </si>
  <si>
    <t>07A02FB</t>
  </si>
  <si>
    <t>09A-HCW70K</t>
  </si>
  <si>
    <t>09Y08F2</t>
  </si>
  <si>
    <t>157-00079</t>
  </si>
  <si>
    <t>15A-HC70K</t>
  </si>
  <si>
    <t>15APF07FB</t>
  </si>
  <si>
    <t>15TA24MW</t>
  </si>
  <si>
    <t>28AP02FB</t>
  </si>
  <si>
    <t>49A39F</t>
  </si>
  <si>
    <t>4WP06F</t>
  </si>
  <si>
    <t>4WP-DL06FN</t>
  </si>
  <si>
    <t>4WP-WSP</t>
  </si>
  <si>
    <t>92A34F3</t>
  </si>
  <si>
    <t>92A34MW</t>
  </si>
  <si>
    <t>ASC02FL</t>
  </si>
  <si>
    <t>ASC-DL02C</t>
  </si>
  <si>
    <t>CDR02F</t>
  </si>
  <si>
    <t>CLBC-T715B</t>
  </si>
  <si>
    <t>CLBH-S0615B</t>
  </si>
  <si>
    <t>CLBK-S1316</t>
  </si>
  <si>
    <t>CLBS-173AK</t>
  </si>
  <si>
    <t>CLBS-173AP</t>
  </si>
  <si>
    <t>CLBS-17DK</t>
  </si>
  <si>
    <t>CLTSH-5T20A</t>
  </si>
  <si>
    <t>CLW6K-712T1</t>
  </si>
  <si>
    <t>CSH02FB</t>
  </si>
  <si>
    <t>D15AP-PLUG</t>
  </si>
  <si>
    <t>GRMX-FD</t>
  </si>
  <si>
    <t>GRMY4-FD01</t>
  </si>
  <si>
    <t>NWP06F</t>
  </si>
  <si>
    <t>NWP-DL06F</t>
  </si>
  <si>
    <t>TAFT-191</t>
  </si>
  <si>
    <t>BLT-2</t>
  </si>
  <si>
    <t>15AP-2</t>
  </si>
  <si>
    <t>15AP-1</t>
  </si>
  <si>
    <t>CDR-2</t>
  </si>
  <si>
    <t>NWP-1</t>
  </si>
  <si>
    <t>M28KA-2</t>
  </si>
  <si>
    <t>15Y2-2</t>
  </si>
  <si>
    <t>06A-2</t>
  </si>
  <si>
    <t>06A-1</t>
  </si>
  <si>
    <t>04A3-1</t>
  </si>
  <si>
    <t>07A-1</t>
  </si>
  <si>
    <t>07A-2</t>
  </si>
  <si>
    <t>15TA-5</t>
  </si>
  <si>
    <t>15NA-1</t>
  </si>
  <si>
    <t>09A-7</t>
  </si>
  <si>
    <t>4WP-1</t>
  </si>
  <si>
    <t>09Y2-3</t>
  </si>
  <si>
    <t>15Y-2</t>
  </si>
  <si>
    <t>ASC-1</t>
  </si>
  <si>
    <t>N09Y-1</t>
  </si>
  <si>
    <t>4WP-WS2R</t>
  </si>
  <si>
    <t>DMWP-WS2</t>
  </si>
  <si>
    <t>FLRYWB-03W</t>
  </si>
  <si>
    <t>FLRYWB-03Y</t>
  </si>
  <si>
    <t>FLRYWB-05AB</t>
  </si>
  <si>
    <t>FLRYWB-05B</t>
  </si>
  <si>
    <t>FLRYWB-05BR</t>
  </si>
  <si>
    <t>FLRYWB-05G</t>
  </si>
  <si>
    <t>FLRYWB-05GY</t>
  </si>
  <si>
    <t>FLRYWB-05L</t>
  </si>
  <si>
    <t>FLRYWB-05LR</t>
  </si>
  <si>
    <t>FLRYWB-05NB</t>
  </si>
  <si>
    <t>FLRYWB-05NW</t>
  </si>
  <si>
    <t>FLRYWB-05NY</t>
  </si>
  <si>
    <t>FLRYWB-05RB</t>
  </si>
  <si>
    <t>FLRYWB-05WB</t>
  </si>
  <si>
    <t>FLRYWB-05WR</t>
  </si>
  <si>
    <t>FLRYWB-03GR</t>
  </si>
  <si>
    <t>FLRYWB-03YB</t>
  </si>
  <si>
    <t>FLRYWB-03AB</t>
  </si>
  <si>
    <t>025 12F OUTSIDE MIRROR CONNT ASSY</t>
  </si>
  <si>
    <t>025 II 32P(F) CONN</t>
  </si>
  <si>
    <t>0.25/090 HYBRID 30P(F) CONN NATURAL</t>
  </si>
  <si>
    <t>070 MULTI LOCK 2P(F)</t>
  </si>
  <si>
    <t>070 MULTI LOCK 2P(F) BLACK</t>
  </si>
  <si>
    <t>090 MULTI LOCK SEALED 7PIE HSG CLIP KEY-HOLE BLAKC</t>
  </si>
  <si>
    <t>090-2 8P(F) HOUSING</t>
  </si>
  <si>
    <t>CABLE TIE+CLIP BK 180X5.10X1.50MM</t>
  </si>
  <si>
    <t>025 HSG CLIP 7PIE 1:0.7~1.0t 2:1.0-1.6</t>
  </si>
  <si>
    <t>APEX 150 7P(F) HSG BLACK(F7540000)</t>
  </si>
  <si>
    <t>025 TH TYPE 24P(M) HSG NATURAL</t>
  </si>
  <si>
    <t>APEX 2.8MM 2P(F) HSG WITH OUT CPA  BLACK(F640110)</t>
  </si>
  <si>
    <t>040/090 39P(F) HSG ASSY</t>
  </si>
  <si>
    <t>040 WP(RK) 6P(F) HOUSING</t>
  </si>
  <si>
    <t>040 WP(RK) 6P(F) HS RETAINER BROWN</t>
  </si>
  <si>
    <t>040 WP(RK) DIMMY SEAL</t>
  </si>
  <si>
    <t>025/090 HYB 34P PLUG ASSY</t>
  </si>
  <si>
    <t>025/090 34P(M) HSG WHITE</t>
  </si>
  <si>
    <t>ASC(090) 2P(F) HSG LEFT</t>
  </si>
  <si>
    <t>ASC(090) 2P RETAINER</t>
  </si>
  <si>
    <t>CDR TYPE 2P(F) HSG WHITE</t>
  </si>
  <si>
    <t>B/CABLE 147mm SLOT 7~12  7T BLACK</t>
  </si>
  <si>
    <t>OS150WPM7</t>
  </si>
  <si>
    <t>B/CABLE 160MM SLOT TYPE  0.7 ~ 1.3T-BLACK</t>
  </si>
  <si>
    <t>B/CABLE B-TYPE 2.1-3</t>
  </si>
  <si>
    <t>B/CABLE 0.7T 170mm CABLE-Gray,SEAL-Pink 0.6-0.8T</t>
  </si>
  <si>
    <t>B/CABLE M1 DARK GRAY/GRAY</t>
  </si>
  <si>
    <t>GRAY (7X12, 0.7~1.6Th)</t>
  </si>
  <si>
    <t>WIRE CLIP 7*12 0.7~1.5T</t>
  </si>
  <si>
    <t>CAM SHAFT SNSR 2P(F) HSG BLACK KEY A</t>
  </si>
  <si>
    <t>APEX 150 CAVITY PLUG(FCI 54241629)</t>
  </si>
  <si>
    <t>X100 FRONT DOOR GROMMET</t>
  </si>
  <si>
    <t>Y-400 FRT DOOR GROMMET</t>
  </si>
  <si>
    <t>NMWP 6P(F) HSG</t>
  </si>
  <si>
    <t>NMWP 6P HSG RETAINER</t>
  </si>
  <si>
    <t>FLEECE ADHESIVE TAPE 19*15 105ºC</t>
  </si>
  <si>
    <t>VINYL SHEET 90mm*50M</t>
  </si>
  <si>
    <t>APEX 2.8MM FEMALE TERMINAL(1.3~2.5)(54001400RWA)</t>
  </si>
  <si>
    <t>APEX 150 FEMALE TML 0.7-1.0 TIN(54001625)</t>
  </si>
  <si>
    <t>APEX 150 FEMALE TML 0.3-0.5 TIN(540020000)</t>
  </si>
  <si>
    <t>CDR TYPE TML(F) 0.5mm</t>
  </si>
  <si>
    <t>NMWP-F-S 0.3-0.5mm</t>
  </si>
  <si>
    <t>MCP 2.8k FEMALE TML 0.5-1.0MM</t>
  </si>
  <si>
    <t>025 II TYPE TML(F) 0.30-0.50</t>
  </si>
  <si>
    <t>060 RECEP 0.5-0.75</t>
  </si>
  <si>
    <t>060 RECEP 0.22-0.35</t>
  </si>
  <si>
    <t>040-3 MULTI LOCK(F) TML 0.3-0.5mm</t>
  </si>
  <si>
    <t>070 MULTI LOCK (F) 0.2-0.36mm</t>
  </si>
  <si>
    <t>070 MULTI LOCK (F) 0.5-1.25mm</t>
  </si>
  <si>
    <t>025 TH TYPE TML(M) 0.30-0.56</t>
  </si>
  <si>
    <t>025-NEW  TYPE TML(F) 0.37-0.56</t>
  </si>
  <si>
    <t>090 MALE TML 2.0mm</t>
  </si>
  <si>
    <t>W200 신규자재</t>
  </si>
  <si>
    <t>090-2 TERMINAL(F) 2.</t>
  </si>
  <si>
    <t>025 TYPE TML(F) 0.30-0.50</t>
  </si>
  <si>
    <t>ASC(090-2) TYPE TML(F) 0.3-0.5mm</t>
  </si>
  <si>
    <t>NEW 090 TERMINAL(M) 0.3~0.5mm TIN</t>
  </si>
  <si>
    <t>040 WP(RK) WIRE SEAL AVSS 0.5~0.85SQ 1.5</t>
  </si>
  <si>
    <t>MWP W-SEAL 0.5-0.85(KUM RS220-04100)</t>
  </si>
  <si>
    <t>FLRYW-B 0.35 W</t>
  </si>
  <si>
    <t>FLRYW-B 0.35 Y</t>
  </si>
  <si>
    <t>FLRYW-B 0.5  GRAY/BLACK</t>
  </si>
  <si>
    <t>FLRYW-B 0.5  B</t>
  </si>
  <si>
    <t>FLRYW-B 0.5 B/R</t>
  </si>
  <si>
    <t>FLRYW-B 0.5 Green</t>
  </si>
  <si>
    <t>FLRYW-B 0.5  G/Y</t>
  </si>
  <si>
    <t>FLRYW-B 0.5  L</t>
  </si>
  <si>
    <t>FLRYW-B 0.5  L/R</t>
  </si>
  <si>
    <t>FLRYW-B 0.5  Br/B</t>
  </si>
  <si>
    <t>FLRYW-B 0.5  Br/W</t>
  </si>
  <si>
    <t>FLRYW-B 0.5? Br/Y</t>
  </si>
  <si>
    <t>FLRYW-B 0.5  R/B</t>
  </si>
  <si>
    <t>FLRYW-B 0.5  W/B</t>
  </si>
  <si>
    <t>FLRYW-B 0.5  W/R</t>
  </si>
  <si>
    <t>FLRYW-B 0.35 G/R</t>
  </si>
  <si>
    <t>FLRYW-B 0.35 Y/B</t>
  </si>
  <si>
    <t>FLRYW-B 0.35 Gr/B</t>
  </si>
  <si>
    <t>TBST-09</t>
  </si>
  <si>
    <t>3926.90-1000</t>
  </si>
  <si>
    <t>4016.99-1090</t>
  </si>
  <si>
    <t>3919.90-0000</t>
  </si>
  <si>
    <t>8536.90-9010</t>
  </si>
  <si>
    <t>SDR-2.0</t>
  </si>
  <si>
    <t>FLRYWB-05NR</t>
  </si>
  <si>
    <t>FLRYWB-05BW</t>
  </si>
  <si>
    <t>FLRYW-B 0.5 N/R</t>
  </si>
  <si>
    <t>FLRYW-B 0.5  B/W</t>
  </si>
  <si>
    <t>FLRYWB-05BL</t>
  </si>
  <si>
    <t>FLRYWB-05WL</t>
  </si>
  <si>
    <t>FLRYW-B 0.5 B/L</t>
  </si>
  <si>
    <t>Origin</t>
    <phoneticPr fontId="4" type="noConversion"/>
  </si>
  <si>
    <t>8536.90-0000</t>
  </si>
  <si>
    <t>FLRYWB-05BG</t>
  </si>
  <si>
    <t>FLRYW-B 0.5  B/G</t>
  </si>
  <si>
    <t>FLRYW-B 0.5  W/L</t>
  </si>
  <si>
    <t>FLRYW-B 1.0 Red</t>
  </si>
  <si>
    <t>FLRYWB-25BY</t>
  </si>
  <si>
    <t>FLRYW-B 2.50 B/Y</t>
  </si>
  <si>
    <t>FLRYWB-03WL</t>
  </si>
  <si>
    <t>FLRYWB-05AY</t>
  </si>
  <si>
    <t>FLRYWB-05LB</t>
  </si>
  <si>
    <t>FLRYWB-05LG</t>
  </si>
  <si>
    <t>FLRYWB-05RG</t>
  </si>
  <si>
    <t>FLRYWB-10R</t>
  </si>
  <si>
    <t>FLRYWB-20B</t>
  </si>
  <si>
    <t>Korea</t>
  </si>
  <si>
    <t>Vietnam</t>
  </si>
  <si>
    <t>Germany</t>
  </si>
  <si>
    <t>China</t>
  </si>
  <si>
    <t>Japan</t>
  </si>
  <si>
    <t>Italy</t>
  </si>
  <si>
    <t>Austria</t>
  </si>
  <si>
    <t>Singapore</t>
  </si>
  <si>
    <t>Honduras</t>
  </si>
  <si>
    <t>Thailand</t>
  </si>
  <si>
    <t>Mexico</t>
  </si>
  <si>
    <t>United States of America</t>
  </si>
  <si>
    <t>025YZ-2</t>
  </si>
  <si>
    <t>064Y-2</t>
  </si>
  <si>
    <t>12D-1</t>
  </si>
  <si>
    <t>15WPZ-WS1R</t>
  </si>
  <si>
    <t>58L-6</t>
  </si>
  <si>
    <t>63MP-4SA</t>
  </si>
  <si>
    <t>C025Y-2</t>
  </si>
  <si>
    <t>C28D-3S</t>
  </si>
  <si>
    <t>C28D-WS3Y</t>
  </si>
  <si>
    <t>C48D-WS3R</t>
  </si>
  <si>
    <t>C63D-4S</t>
  </si>
  <si>
    <t>DSWP-WS0G</t>
  </si>
  <si>
    <t>ELTL-206</t>
  </si>
  <si>
    <t>EPY-2</t>
  </si>
  <si>
    <t>ERT-206</t>
  </si>
  <si>
    <t>JPT-0S</t>
  </si>
  <si>
    <t>M28KA-3S</t>
  </si>
  <si>
    <t>MCP6-4</t>
  </si>
  <si>
    <t>MCPE-1</t>
  </si>
  <si>
    <t>MCPE-2</t>
  </si>
  <si>
    <t>MCPE-5S</t>
  </si>
  <si>
    <t>MCPE-WS1L</t>
  </si>
  <si>
    <t>MCPE-WS2W</t>
  </si>
  <si>
    <t>MT2-2S</t>
  </si>
  <si>
    <t>N06Y-2S</t>
  </si>
  <si>
    <t>N06Y-WS2R</t>
  </si>
  <si>
    <t>N11Y-1S</t>
  </si>
  <si>
    <t>N11Y-WS1L</t>
  </si>
  <si>
    <t>RTTL-306</t>
  </si>
  <si>
    <t>SPT-1</t>
  </si>
  <si>
    <t>SPT-3</t>
  </si>
  <si>
    <t>SPT-4</t>
  </si>
  <si>
    <t>SWP-5</t>
  </si>
  <si>
    <t>TS64S-2S</t>
  </si>
  <si>
    <t>TS64S-WS2</t>
  </si>
  <si>
    <t>TWPU-2S</t>
  </si>
  <si>
    <t>TWPU-WS1L</t>
  </si>
  <si>
    <t>XWP-1</t>
  </si>
  <si>
    <t>XWP-2</t>
  </si>
  <si>
    <t>09A26F3</t>
  </si>
  <si>
    <t>09A-HC71</t>
  </si>
  <si>
    <t>09P02FBW2</t>
  </si>
  <si>
    <t>09P03F</t>
  </si>
  <si>
    <t>124D46F</t>
  </si>
  <si>
    <t>124D-CL46F</t>
  </si>
  <si>
    <t>12D-PLUG</t>
  </si>
  <si>
    <t>15WPZ03FA</t>
  </si>
  <si>
    <t>261A18F</t>
  </si>
  <si>
    <t>261A46F</t>
  </si>
  <si>
    <t>262A41F1</t>
  </si>
  <si>
    <t>4WP03FB</t>
  </si>
  <si>
    <t>4WP-DL03C</t>
  </si>
  <si>
    <t>58L02M</t>
  </si>
  <si>
    <t>58L-DL02M</t>
  </si>
  <si>
    <t>61YZ16F</t>
  </si>
  <si>
    <t>62A16F</t>
  </si>
  <si>
    <t>63MP03FB</t>
  </si>
  <si>
    <t>63MP-DL03C</t>
  </si>
  <si>
    <t>9SA40F</t>
  </si>
  <si>
    <t>9SA40FB1</t>
  </si>
  <si>
    <t>CEH94F</t>
  </si>
  <si>
    <t>CEH-CL94F1</t>
  </si>
  <si>
    <t>CEH-DL94F1</t>
  </si>
  <si>
    <t>CEH-DL94F2</t>
  </si>
  <si>
    <t>CEH-LV94F1</t>
  </si>
  <si>
    <t>CLBC-16U</t>
  </si>
  <si>
    <t>CLBC-16UB</t>
  </si>
  <si>
    <t>DSWP-WSP</t>
  </si>
  <si>
    <t>EJ212MC</t>
  </si>
  <si>
    <t>EJ2-DL12M</t>
  </si>
  <si>
    <t>FAM60FA1</t>
  </si>
  <si>
    <t>GRMC2-FWM11</t>
  </si>
  <si>
    <t>GRMX-EDS70</t>
  </si>
  <si>
    <t>JPT02FCS</t>
  </si>
  <si>
    <t>MC12A02F</t>
  </si>
  <si>
    <t>MCPE06M</t>
  </si>
  <si>
    <t>MJA20M</t>
  </si>
  <si>
    <t>MJA36F</t>
  </si>
  <si>
    <t>MJA-HC70T2</t>
  </si>
  <si>
    <t>N61SY06FB</t>
  </si>
  <si>
    <t>PRTC3-EDS10</t>
  </si>
  <si>
    <t>PRTC3-ESF10</t>
  </si>
  <si>
    <t>PRTC3-ESR20</t>
  </si>
  <si>
    <t>SG5P-5003</t>
  </si>
  <si>
    <t>SSD-HC07SB</t>
  </si>
  <si>
    <t>SWP08M</t>
  </si>
  <si>
    <t>SWP-DL08C</t>
  </si>
  <si>
    <t>TS64SS06F</t>
  </si>
  <si>
    <t>TWP02FB</t>
  </si>
  <si>
    <t>TWPU-DL02L</t>
  </si>
  <si>
    <t>XWP10F</t>
  </si>
  <si>
    <t>XWP-DL10F</t>
  </si>
  <si>
    <t>KM025C-2</t>
  </si>
  <si>
    <t>KM060C-3</t>
  </si>
  <si>
    <t>KM11H-1</t>
  </si>
  <si>
    <t>FLRYWB-03AY</t>
  </si>
  <si>
    <t>AVMQ2-FRD00</t>
  </si>
  <si>
    <t>KM0261H43F</t>
  </si>
  <si>
    <t>DEJ2-WSP</t>
  </si>
  <si>
    <t>D1CB-PLUG</t>
  </si>
  <si>
    <t>3926.90-9000　</t>
  </si>
  <si>
    <t>DJPT-WSP</t>
  </si>
  <si>
    <t>TBPT-16004</t>
  </si>
  <si>
    <t>DXWP-WSP</t>
  </si>
  <si>
    <t>TBCC-09</t>
  </si>
  <si>
    <t>CP1105B</t>
  </si>
  <si>
    <t>FLRYWB-10L</t>
  </si>
  <si>
    <t>CLBC-17WB</t>
  </si>
  <si>
    <t>VWP1-WS3N</t>
  </si>
  <si>
    <t>VWP-3S</t>
  </si>
  <si>
    <t>4821.10-0000</t>
  </si>
  <si>
    <t>NDWP02FB2</t>
  </si>
  <si>
    <t>JPB02F</t>
  </si>
  <si>
    <t>CMXM120FRN</t>
  </si>
  <si>
    <t>CMXM-CL120F</t>
  </si>
  <si>
    <t>HFH-WSP</t>
  </si>
  <si>
    <t>ML12A02FB-C</t>
  </si>
  <si>
    <t>12AP-1S</t>
  </si>
  <si>
    <t>12APD-WS1R</t>
  </si>
  <si>
    <t>CT06M-2V</t>
  </si>
  <si>
    <t>CT15M-WS1L</t>
  </si>
  <si>
    <t>FLRYWB-05LN</t>
  </si>
  <si>
    <t>FLRYWB-05NG</t>
  </si>
  <si>
    <t>FLRYWB-10G</t>
  </si>
  <si>
    <t>NWP-1G</t>
  </si>
  <si>
    <t>FLRYWB-05GR</t>
  </si>
  <si>
    <t>025FYS07M</t>
  </si>
  <si>
    <t>025FYS-DL07C</t>
  </si>
  <si>
    <t>061Y36F</t>
  </si>
  <si>
    <t>061Y-WC36F</t>
  </si>
  <si>
    <t>064WPZ-PLUG</t>
  </si>
  <si>
    <t>15WPY-WSP</t>
  </si>
  <si>
    <t>58L02F</t>
  </si>
  <si>
    <t>94DCF04FB</t>
  </si>
  <si>
    <t>AMSJ16-EN</t>
  </si>
  <si>
    <t>APS-WSP</t>
  </si>
  <si>
    <t>C48D-WSPA</t>
  </si>
  <si>
    <t>HC16B-PLUG</t>
  </si>
  <si>
    <t>HC18B32F</t>
  </si>
  <si>
    <t>HC20B-PLUG</t>
  </si>
  <si>
    <t>HDY-WSP</t>
  </si>
  <si>
    <t>JC-025WY08FB-44</t>
  </si>
  <si>
    <t>JC025WY-DL08P</t>
  </si>
  <si>
    <t>JCY14F</t>
  </si>
  <si>
    <t>JCY14M4</t>
  </si>
  <si>
    <t>JCY14MW</t>
  </si>
  <si>
    <t>JCY-DL14F</t>
  </si>
  <si>
    <t>MCP06FB</t>
  </si>
  <si>
    <t>15WPY-WS2R</t>
  </si>
  <si>
    <t>48DCF-WS1G</t>
  </si>
  <si>
    <t>95DC2-WS2</t>
  </si>
  <si>
    <t>CB06Y-1</t>
  </si>
  <si>
    <t>ERT-306</t>
  </si>
  <si>
    <t>HC16B-1</t>
  </si>
  <si>
    <t>HC20B-1</t>
  </si>
  <si>
    <t>MCP6-2</t>
  </si>
  <si>
    <t>PTF-1SA</t>
  </si>
  <si>
    <t>SDL-1</t>
  </si>
  <si>
    <t>SPT-2</t>
  </si>
  <si>
    <t>025FYS07F</t>
  </si>
  <si>
    <t>APS02F</t>
  </si>
  <si>
    <t>CB06Y-PLUG</t>
  </si>
  <si>
    <t>CMXM120FRA</t>
  </si>
  <si>
    <t>CMXM-CL120F1</t>
  </si>
  <si>
    <t>RKZ03FB</t>
  </si>
  <si>
    <t>CT15M-WS2A</t>
  </si>
  <si>
    <t>8544.20-0000</t>
  </si>
  <si>
    <t>JCKM025H-PLUG</t>
  </si>
  <si>
    <t>JCKM025H14F-C</t>
  </si>
  <si>
    <t>JCKM025H-CA14F</t>
  </si>
  <si>
    <t>N09A-3</t>
  </si>
  <si>
    <t>NWP08F</t>
  </si>
  <si>
    <t>NWP-DL08F</t>
  </si>
  <si>
    <t>N09A-1</t>
  </si>
  <si>
    <t>8538.90-9000　</t>
  </si>
  <si>
    <t>DXWP-WS1</t>
  </si>
  <si>
    <t>DNWP-WSP</t>
  </si>
  <si>
    <t>N09A-2</t>
  </si>
  <si>
    <t>AMSJ12-ENR</t>
  </si>
  <si>
    <t>FLR91XA-07WG</t>
  </si>
  <si>
    <t>Lot 17, N11 Road, Dat Do 1 Industrial zone,</t>
  </si>
  <si>
    <t>Phuoc Long Tho ward, Long Dat District,</t>
  </si>
  <si>
    <t>Ba Ria - Vung Tau Province, Vietnam</t>
  </si>
  <si>
    <t>N09A-4</t>
  </si>
  <si>
    <t>AMSO10-EN</t>
  </si>
  <si>
    <t>98, gongdan9-ro, jinlyang-eub, Gyeongsan-si, Gyeongsangbuk-do, Republic of Korea</t>
  </si>
  <si>
    <t>025, 060, 110 HYBRID 18F HSG</t>
  </si>
  <si>
    <t>090-III 26P(F) HSG추가설명</t>
  </si>
  <si>
    <t>090 MULTI LOCK HSG 7</t>
  </si>
  <si>
    <t>MT2, JPT, MCP CLIP 7PIE 0.5-4.T TREE-2</t>
  </si>
  <si>
    <t>J-P-T 2P(F) HSG SEAL</t>
  </si>
  <si>
    <t>ECONO-J MARK-2+ 12P(M) HOUSING CLIP TYPE</t>
  </si>
  <si>
    <t>MCP-E 06(M) HSG</t>
  </si>
  <si>
    <t>090-2 WP 3P(F) SEAL</t>
  </si>
  <si>
    <t>NDWP02F-GY ASSY</t>
  </si>
  <si>
    <t>090-2 WP 2P(F) HSG SEAL-TYPE BLACK WHITE</t>
  </si>
  <si>
    <t>025, 060, 110 HYBRID 46(F) HSG</t>
  </si>
  <si>
    <t>025/060/250 LIF 41P PLUG ASSY</t>
  </si>
  <si>
    <t>090/SPT 40P(F) HSG</t>
  </si>
  <si>
    <t>090/SPT 40P(F) HSG 8mm BOLT BLACK</t>
  </si>
  <si>
    <t>CARRIER ECU HSG 94(F) ASSY</t>
  </si>
  <si>
    <t>COVER HSG FOR ECU 94P PLUG</t>
  </si>
  <si>
    <t>LEVER HSG FOR SHIELD 94P(B)</t>
  </si>
  <si>
    <t>MCP-E, MCP 6.4, MCP 9.5 60(F) GRAY 6M BO</t>
  </si>
  <si>
    <t>A100RH</t>
  </si>
  <si>
    <t>1.5 WP SEAL 3P(F) HSG DARK GRAY</t>
  </si>
  <si>
    <t>CARRIER ECU HSG 94(F) RETAINER</t>
  </si>
  <si>
    <t>MQS-SEAL 6P(F)-TYPE-1</t>
  </si>
  <si>
    <t>ECONO-J MARK-2+ CLOSED SEAL(DH SS0216)</t>
  </si>
  <si>
    <t>1.5MM CLEAN BODY DUMMY(DH SS7422)</t>
  </si>
  <si>
    <t>J-P-T WIRE SEAL BLANKING(DH SS8922)</t>
  </si>
  <si>
    <t>MT-2,JPT SEAL TYPE20</t>
  </si>
  <si>
    <t>060/110 WP 36P(F) HSG BLACK</t>
  </si>
  <si>
    <t>XWP 10FA-B CONNECTOR</t>
  </si>
  <si>
    <t>025 WP 7F Assy A_Type(FAKRA)</t>
  </si>
  <si>
    <t>025 WP 7M Assy A_Type(FAKRA)</t>
  </si>
  <si>
    <t>NEW 060,110 SEAL TYPE 5P(F) HSG BLK</t>
  </si>
  <si>
    <t>MCON 1.2 SEAL 2P(F) HSG KEYING A</t>
  </si>
  <si>
    <t>MCP 6P(F) MCON 1.2 - LL CONNECTOR, SEALED BLACK</t>
  </si>
  <si>
    <t>060 * 250 HYBRID 16P? PLUG ASSY</t>
  </si>
  <si>
    <t>060110 WP 36F WIRE COVER</t>
  </si>
  <si>
    <t>58L 02P (M) HOUSING</t>
  </si>
  <si>
    <t>RING TERMINAL 6.4 NOCHI-TYPE 2.0 - 5.0 P</t>
  </si>
  <si>
    <t>C025 FEMALE TML 0.3 ~ 0.5</t>
  </si>
  <si>
    <t>NEW MWP FEMALE TML 0.3-0.5mm GOLD</t>
  </si>
  <si>
    <t>VWP(050)SEAL TYPE TML 0.85~1.25</t>
  </si>
  <si>
    <t>MCP 6.3/4.8K TML(F) 0.5-1.0  NON-SEAL</t>
  </si>
  <si>
    <t>S-P-T TML 1.5-2.5mm</t>
  </si>
  <si>
    <t>TWP-F-S(0.30-0.5) TML TIN</t>
  </si>
  <si>
    <t>XWP F TERMINAL 0.3-0.5</t>
  </si>
  <si>
    <t>APEX 1.2MM FEMALE SEAL TML 0.3-0.5SQ TIN(54002006)</t>
  </si>
  <si>
    <t>S-P-T TM-L 0.5-1.0 m</t>
  </si>
  <si>
    <t>Mirco-Timer-2(F) TML 0.5-1.0mm</t>
  </si>
  <si>
    <t>METRI PACK 630 SERIES 4.0-6.0 -AG</t>
  </si>
  <si>
    <t>MCP 6.3 TML(F) 2.5-4.0  NON-SEAL</t>
  </si>
  <si>
    <t>S-P-T TM-L 0.2-0.3 m</t>
  </si>
  <si>
    <t>CB060 FEMALE TML 0.3~0.5</t>
  </si>
  <si>
    <t>58L TML(M) 5.0-8.0</t>
  </si>
  <si>
    <t>040 WP(RK) FEMALE TML 0.3 - 0.5mm</t>
  </si>
  <si>
    <t>NEW 090-3 FEMALE TML 2.5mm</t>
  </si>
  <si>
    <t>J-P-T FEMALE TM-L 0.3SQ</t>
  </si>
  <si>
    <t>MCP-E TML(F) 1.25-2.0 NON-SEAL</t>
  </si>
  <si>
    <t>MCP-E TML(M) 0.5-1.0MM SEAL</t>
  </si>
  <si>
    <t>MCP 2.8k FEMALE TML 1.0-2.5MM SEAL</t>
  </si>
  <si>
    <t>S-P-T TM-L 2.5-4.0mm</t>
  </si>
  <si>
    <t>0.64 TYPE 0.3~0.5 TML</t>
  </si>
  <si>
    <t>SDL FEMALE TM-L 0.3-</t>
  </si>
  <si>
    <t>SWP MALE TM-L 0.3 -</t>
  </si>
  <si>
    <t>EARTH RING TM-L 6.4P</t>
  </si>
  <si>
    <t>EARTH RING NOCHI-TYPE TML 6.4PIE:2.85mm TIN</t>
  </si>
  <si>
    <t>EARTH TM-L 6.4PIE:5.</t>
  </si>
  <si>
    <t>060(150) SEAL TERMINAL(F) 0.3~0.5mm TIN</t>
  </si>
  <si>
    <t>110(280) WP 0.5~ 0.85SQ TIN SEAL F-TML</t>
  </si>
  <si>
    <t>NEW 090 FEMALE TML 0.85 - 1.25 mm</t>
  </si>
  <si>
    <t>NEW 090 FEMALE TML 0.3 - 0.5 mm</t>
  </si>
  <si>
    <t>NEW 090 FEMALE TML 2.0mm</t>
  </si>
  <si>
    <t>MCP-E TML(F) 0.35-0.85 NON-SEAL</t>
  </si>
  <si>
    <t>PREHEATING UNIT SEAL TYPE TML 6.0~10.0SQ Ag</t>
  </si>
  <si>
    <t>KM060C SERIES 0.75~1.25 PRE-TIN TML</t>
  </si>
  <si>
    <t>KR10신규</t>
  </si>
  <si>
    <t>CTS 280 1.5-2.5 SQ SN TML(F)</t>
  </si>
  <si>
    <t>CTS 630 2.5-4.0 SN TML(F)</t>
  </si>
  <si>
    <t>KM025C SERIES 0.3 -05  PRE-TIN TML</t>
  </si>
  <si>
    <t>KM110 F TML(S) (2.3K/R)</t>
  </si>
  <si>
    <t>0.64(025) tin female 0.5</t>
  </si>
  <si>
    <t>1.5 WP FEMALE TML 0.6-1.25SQ</t>
  </si>
  <si>
    <t>YES Conn 0.64(025) Female Terminal 0.5~0.75</t>
  </si>
  <si>
    <t>ASM OCS 1.2 0.35~0.5SQ TML(F)</t>
  </si>
  <si>
    <t>HC Contact 20# Socket AWG16~18, Tin over nickel</t>
  </si>
  <si>
    <t>HC Contact 20# Socket AWG20~22, Tin over nickel</t>
  </si>
  <si>
    <t>HARD TUBE 16PIE 40MM  BLACK</t>
  </si>
  <si>
    <t>C200 FLOOR WIPER MOTOR GRMMET 40PIE</t>
  </si>
  <si>
    <t>J116 AMS-ENG_CABLE(2200mm)</t>
  </si>
  <si>
    <t>J120 AMS-ENG_CABLE(2225mm) RHD</t>
  </si>
  <si>
    <t>Y461/Q261 FRT_DR_DRV AVM CABLE</t>
  </si>
  <si>
    <t>TAXI CONN 46 F SLD</t>
  </si>
  <si>
    <t>METRI PACK 630 3P(F) HSG BLK</t>
  </si>
  <si>
    <t>METRI PACK 630 3P(M) HSG BLK</t>
  </si>
  <si>
    <t>TAXI ASM 46P COVER</t>
  </si>
  <si>
    <t>0.64 * 1.5 HYBRID SEALED HOUSING ASSEMBLY</t>
  </si>
  <si>
    <t>X100 DASH GROMMET</t>
  </si>
  <si>
    <t>KM39 43TS</t>
  </si>
  <si>
    <t>C300 PROTECTOR ENG_LH RR</t>
  </si>
  <si>
    <t>C300 PROTECTOR ENG_RH FRT</t>
  </si>
  <si>
    <t>HC 32 CKT Plug Straight Code B</t>
  </si>
  <si>
    <t>5*50*30 Sponge Pad</t>
  </si>
  <si>
    <t>025 WP DUMMY SEAL</t>
  </si>
  <si>
    <t>11WP(58W)  DUMMY SEAL(HEAD LAMP)</t>
  </si>
  <si>
    <t>CB060 CAVITY PLUG</t>
  </si>
  <si>
    <t>MWP DUMMY SEAL(DH SS5022)</t>
  </si>
  <si>
    <t>SWP CLOSED SEAL ORAN(KET MG680477)</t>
  </si>
  <si>
    <t>MQS TYPE SEAL-TYPE CAVITY SEAL</t>
  </si>
  <si>
    <t>064 WP CAVITY PLUG</t>
  </si>
  <si>
    <t>XWP 10FA-B CONNECTOR RET.</t>
  </si>
  <si>
    <t>HFM 05F CAVITY PLUG</t>
  </si>
  <si>
    <t>2POS MCON 1.2 LL REC SEALED</t>
  </si>
  <si>
    <t>070 JOINT 14P(F) RET</t>
  </si>
  <si>
    <t>TWP(025) SEAL TYPE HSG 2P(F) BLK</t>
  </si>
  <si>
    <t>025 WP 7P Rear Holder</t>
  </si>
  <si>
    <t>040 WP(RK) 3P(F) HSG REAINER</t>
  </si>
  <si>
    <t>070 JOINT 14P(M) HS</t>
  </si>
  <si>
    <t>SSD TYPE CONNECTOR CLIP SLOT TYPE 7*12 BLACK</t>
  </si>
  <si>
    <t>TWP(025) SEAL TYPE HSG 2P(M/F) RETAINER BLUE</t>
  </si>
  <si>
    <t>JOINT CAP HSG 7:7 WH</t>
  </si>
  <si>
    <t>025 WP JOINT CONN 4 : 4  8P(F) BLACK</t>
  </si>
  <si>
    <t>025 WP JOINT CONN TPA 8P</t>
  </si>
  <si>
    <t>070 JOINT 14P(F) HS-</t>
  </si>
  <si>
    <t>375(58L) 2P(F) HOUSI</t>
  </si>
  <si>
    <t>040 WP(RK) 3P(F) HSG BLACK</t>
  </si>
  <si>
    <t>ASM OCS 1.2 PLUG</t>
  </si>
  <si>
    <t>58L 2P(M) RETAINER</t>
  </si>
  <si>
    <t>SWP 8P(M) HOUSING</t>
  </si>
  <si>
    <t>SWP 8P(F/M) RETAINER</t>
  </si>
  <si>
    <t>CTS 480 DUMMY SEAL GRAY</t>
  </si>
  <si>
    <t>XWP DUMMY SEAL(DH SS0050)</t>
  </si>
  <si>
    <t>Seal Plug 16AWG</t>
  </si>
  <si>
    <t>Seal Plug 20AWG</t>
  </si>
  <si>
    <t>KM025 WP DUMMY PLUG</t>
  </si>
  <si>
    <t>HSE-02 RS97-1.0-HGF 32 SUPER</t>
  </si>
  <si>
    <t>BAND CABLE-A(B)</t>
  </si>
  <si>
    <t>B/C 158mm W-TYPE 2.1-2.7T(2F), 2.8-3.5T(</t>
  </si>
  <si>
    <t>7φ,T(0.7-2.0)</t>
  </si>
  <si>
    <t>KM025 WP JOINT 4:3:3:4</t>
  </si>
  <si>
    <t>KM025 WP JOINT14P CAP</t>
  </si>
  <si>
    <t>TS 025/0.64MM 6P(F) HSG</t>
  </si>
  <si>
    <t>DCS-1 9.5 / DCS-1 4.8 HYBRID4P(F) HSG</t>
  </si>
  <si>
    <t>040-RK SEAL TYPE 3P(F)</t>
  </si>
  <si>
    <t>SWP WIRE SEAL 0.3-0.5(KET MG680448)</t>
  </si>
  <si>
    <t>MCP-E SEAL 1.2-2.1MM BLUE</t>
  </si>
  <si>
    <t>MCP-E SEAL 2.2-3.3MM WHITE</t>
  </si>
  <si>
    <t>110(280) SEAL AEXF 0.5-0.85 BLUE</t>
  </si>
  <si>
    <t>1.5 WP SEAL 1.20-1.70 O.D</t>
  </si>
  <si>
    <t>CTS 280 2.65-2.85 SQ SEAL</t>
  </si>
  <si>
    <t>CTS 480 2.7-3.8 SEAL RED</t>
  </si>
  <si>
    <t>XWP WIRE SEAL 0.3-0.85(DH SS0030)</t>
  </si>
  <si>
    <t>TS 025/0.64MM MALE SEAL 1.6-1.7</t>
  </si>
  <si>
    <t>060(150)  SEAL 1.3~1.7 RED</t>
  </si>
  <si>
    <t>VWP(050)SEAL A-TYPE SEAL 2.1~2.2 BR</t>
  </si>
  <si>
    <t>APEX 1.2MM FEMALE SEAL RED(F3104000)</t>
  </si>
  <si>
    <t>025 WP WIRE SEAL (M)</t>
  </si>
  <si>
    <t>4.8MM DCS-1 SEAL DIA 1.4 -2.1mm GREEN</t>
  </si>
  <si>
    <t>DCS-1 9.5mm SEAL</t>
  </si>
  <si>
    <t>TWP W-SEAL DIA 0.9-1.1 MARIN BLUE</t>
  </si>
  <si>
    <t>FLRYW-B 1.0 G</t>
  </si>
  <si>
    <t>FLRYW-B 0.5? L/B</t>
  </si>
  <si>
    <t>FLRYW-B 0.5 L/G</t>
  </si>
  <si>
    <t>FLRYW-B 0.5  Br/G</t>
  </si>
  <si>
    <t>FLRYW-B 0.5  Gr/Y</t>
  </si>
  <si>
    <t>FLRYW-B 0.5  G/R</t>
  </si>
  <si>
    <t>FLRYW-B 0.5? L/Br</t>
  </si>
  <si>
    <t>3217.22-0000</t>
  </si>
  <si>
    <t>0263</t>
    <phoneticPr fontId="4" type="noConversion"/>
  </si>
  <si>
    <t>22,APRIL,2025</t>
    <phoneticPr fontId="4" type="noConversion"/>
  </si>
  <si>
    <t>22.04.2025</t>
    <phoneticPr fontId="4" type="noConversion"/>
  </si>
  <si>
    <t>DONGJIN CONFIDENT</t>
    <phoneticPr fontId="4" type="noConversion"/>
  </si>
  <si>
    <t>0131S</t>
    <phoneticPr fontId="4" type="noConversion"/>
  </si>
  <si>
    <t>D025M-WSP</t>
  </si>
  <si>
    <t>D28SB-WS1L</t>
  </si>
  <si>
    <t>TAVT-10B</t>
  </si>
  <si>
    <t>XWP F TERMINAL 0.75-0.85</t>
  </si>
  <si>
    <t>C300 PROTECTOR ENG DASH</t>
  </si>
  <si>
    <t>CP0.6 DUMMY PLUG, LB-B(DH SS4325)</t>
  </si>
  <si>
    <t>2.8MM(110) BDK SEAL 1.2-2.1 BLUE(DH SS0599)</t>
  </si>
  <si>
    <t>O100 AMS-ENG_CABLE(2280mm)</t>
  </si>
  <si>
    <t>CARBON-PAPER 110mm*50mmT BLK</t>
  </si>
  <si>
    <t>J-P-T 2P(F) BOSCH TYPE</t>
  </si>
  <si>
    <t>PVC TAPE 10*20 BLACK</t>
  </si>
  <si>
    <t>FLR91X-A WIRE 0.75 White/Green</t>
  </si>
  <si>
    <t>FLRYW-B 2.00 B</t>
  </si>
  <si>
    <t>FLRYW-B 1.0 Blue</t>
  </si>
  <si>
    <t>FLRYW-B 0.35 W/L</t>
  </si>
  <si>
    <t>FLRYW-B 0.5  R/G</t>
  </si>
  <si>
    <t>FLRYW-B 0.35 Gr/Y</t>
  </si>
  <si>
    <t>EA</t>
    <phoneticPr fontId="4" type="noConversion"/>
  </si>
  <si>
    <t>KG</t>
  </si>
  <si>
    <t>CONNECTOR</t>
  </si>
  <si>
    <t>HOUSING</t>
  </si>
  <si>
    <t>CABLE TIE</t>
  </si>
  <si>
    <t>RETAINER</t>
  </si>
  <si>
    <t>TPA</t>
  </si>
  <si>
    <t>SEAL</t>
  </si>
  <si>
    <t>TERMINAL</t>
  </si>
  <si>
    <t>TAPE</t>
  </si>
  <si>
    <t>TAPE COTTON</t>
  </si>
  <si>
    <t>TUBE</t>
  </si>
  <si>
    <t>GROMMET</t>
  </si>
  <si>
    <t>ELECTRIC WIRE</t>
  </si>
  <si>
    <t xml:space="preserve">CABLE </t>
  </si>
  <si>
    <t>SPONGE PAD</t>
  </si>
  <si>
    <t>SUPER</t>
  </si>
  <si>
    <t>CABLE</t>
  </si>
  <si>
    <t>CARBON PAPER</t>
  </si>
  <si>
    <t xml:space="preserve">13. Description of Goods                   </t>
  </si>
  <si>
    <t>NAME ENGLISH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</si>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</sst>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-&quot;₩&quot;* #,##0_-;\-&quot;₩&quot;* #,##0_-;_-&quot;₩&quot;* &quot;-&quot;_-;_-@_-"/>
    <numFmt numFmtId="165" formatCode="_-* #,##0_-;\-* #,##0_-;_-* &quot;-&quot;_-;_-@_-"/>
    <numFmt numFmtId="166" formatCode="_-* #,##0.00_-;\-* #,##0.00_-;_-* &quot;-&quot;??_-;_-@_-"/>
    <numFmt numFmtId="167" formatCode="_-* #,##0.0_-;\-* #,##0.0_-;_-* &quot;-&quot;_-;_-@_-"/>
    <numFmt numFmtId="168" formatCode="[$-409]d&quot;-&quot;mmm&quot;-&quot;yy;@"/>
    <numFmt numFmtId="169" formatCode="#,##0_ "/>
    <numFmt numFmtId="170" formatCode="0.0000"/>
    <numFmt numFmtId="171" formatCode="#,##0&quot;PKGS&quot;"/>
    <numFmt numFmtId="172" formatCode="dd\.mmm\.yyyy"/>
    <numFmt numFmtId="173" formatCode="[$-409]d/mmm/yyyy;@"/>
    <numFmt numFmtId="174" formatCode="_-* #,##0.00_-;\-* #,##0.00_-;_-* &quot;-&quot;_-;_-@_-"/>
    <numFmt numFmtId="175" formatCode="#,##0.00_ "/>
    <numFmt numFmtId="176" formatCode="#,##0.0_ &quot;Kg&quot;"/>
    <numFmt numFmtId="177" formatCode="_ * #,##0_ ;_ * \-#,##0_ ;_ * &quot;-&quot;_ ;_ @_ "/>
    <numFmt numFmtId="178" formatCode="_ * #,##0.00_ ;_ * \-#,##0.00_ ;_ * &quot;-&quot;??_ ;_ @_ "/>
    <numFmt numFmtId="179" formatCode="dd&quot;₩&quot;/mmm&quot;₩&quot;/yy"/>
    <numFmt numFmtId="180" formatCode="&quot;₩&quot;#,##0;&quot;₩&quot;&quot;₩&quot;&quot;₩&quot;&quot;₩&quot;\-#,##0"/>
    <numFmt numFmtId="181" formatCode="&quot;₩&quot;#,##0;[Red]&quot;₩&quot;&quot;₩&quot;&quot;₩&quot;&quot;₩&quot;&quot;₩&quot;&quot;₩&quot;\!\-#,##0"/>
    <numFmt numFmtId="182" formatCode="###0_);[Red]\(###0\)"/>
    <numFmt numFmtId="183" formatCode="_-* #,##0.00_ _F_-;\-* #,##0.00_ _F_-;_-* &quot;-&quot;??_ _F_-;_-@_-"/>
    <numFmt numFmtId="184" formatCode="mm/dd/yyyy&quot;₩&quot;\ h:mm"/>
    <numFmt numFmtId="185" formatCode="&quot;₩&quot;&quot;₩&quot;&quot;₩&quot;\$#,##0_);[Red]&quot;₩&quot;&quot;₩&quot;&quot;₩&quot;\(&quot;₩&quot;&quot;₩&quot;&quot;₩&quot;\$#,##0&quot;₩&quot;&quot;₩&quot;&quot;₩&quot;\)"/>
    <numFmt numFmtId="186" formatCode="#,##0.0_ "/>
    <numFmt numFmtId="187" formatCode="0.000"/>
    <numFmt numFmtId="188" formatCode="_ * #,##0.00_ ;_ * &quot;₩&quot;\-#,##0.00_ ;_ * &quot;-&quot;??_ ;_ @_ "/>
    <numFmt numFmtId="189" formatCode="dd&quot;₩&quot;/mmm"/>
    <numFmt numFmtId="190" formatCode="&quot;HF-JB-&quot;00##"/>
    <numFmt numFmtId="191" formatCode="&quot;HF-HY-1&quot;0##"/>
    <numFmt numFmtId="192" formatCode="&quot;₩&quot;#,##0.00;&quot;₩&quot;&quot;₩&quot;&quot;₩&quot;&quot;₩&quot;\-#,##0.00"/>
    <numFmt numFmtId="193" formatCode="&quot;DM&quot;#,##0.0"/>
    <numFmt numFmtId="194" formatCode="_-* #,##0_ _F_-;\-* #,##0_ _F_-;_-* &quot;-&quot;_ _F_-;_-@_-"/>
    <numFmt numFmtId="195" formatCode="_ &quot;₩&quot;* #,##0_ ;_ &quot;₩&quot;* \-#,##0_ ;_ &quot;₩&quot;* &quot;-&quot;_ ;_ @_ "/>
    <numFmt numFmtId="196" formatCode="&quot;₩&quot;#,##0.00;[Red]&quot;₩&quot;&quot;₩&quot;\!\-#,##0.00"/>
    <numFmt numFmtId="197" formatCode="&quot;₩&quot;#,##0;[Red]&quot;₩&quot;\-#,##0"/>
    <numFmt numFmtId="198" formatCode="&quot;₩&quot;#,##0;[Red]&quot;₩&quot;&quot;₩&quot;\!\-#,##0"/>
    <numFmt numFmtId="199" formatCode="_ &quot;₩&quot;* #,##0.00_ ;_ &quot;₩&quot;* \-#,##0.00_ ;_ &quot;₩&quot;* &quot;-&quot;??_ ;_ @_ "/>
    <numFmt numFmtId="200" formatCode="&quot;₩&quot;#,##0.00;[Red]&quot;₩&quot;\-#,##0.00"/>
    <numFmt numFmtId="201" formatCode="#,##0.00;[Red]&quot;-&quot;#,##0.00"/>
    <numFmt numFmtId="202" formatCode="#,##0;[Red]&quot;-&quot;#,##0"/>
    <numFmt numFmtId="203" formatCode="&quot;₩&quot;&quot;₩&quot;&quot;₩&quot;&quot;₩&quot;&quot;₩&quot;&quot;₩&quot;\!\$#,##0.00_);[Red]&quot;₩&quot;&quot;₩&quot;&quot;₩&quot;&quot;₩&quot;&quot;₩&quot;&quot;₩&quot;\!\(&quot;₩&quot;&quot;₩&quot;&quot;₩&quot;&quot;₩&quot;&quot;₩&quot;&quot;₩&quot;\!\$#,##0.00&quot;₩&quot;&quot;₩&quot;&quot;₩&quot;&quot;₩&quot;&quot;₩&quot;&quot;₩&quot;\!\)"/>
    <numFmt numFmtId="204" formatCode="\ &quot;~~ &quot;@"/>
    <numFmt numFmtId="205" formatCode="&quot;₩&quot;#,##0;&quot;₩&quot;&quot;₩&quot;&quot;₩&quot;&quot;₩&quot;&quot;₩&quot;&quot;₩&quot;&quot;₩&quot;&quot;₩&quot;&quot;₩&quot;&quot;₩&quot;\-&quot;₩&quot;#,##0"/>
    <numFmt numFmtId="206" formatCode="_ * #,##0.00_ ;_ * \-#,##0.00_ ;_ * &quot;-&quot;_ ;_ @_ "/>
    <numFmt numFmtId="207" formatCode="#,##0.00\ [$€];[Red]\-#,##0.00\ [$€]"/>
    <numFmt numFmtId="208" formatCode="_-* #,##0&quot; F&quot;_-;\-* #,##0&quot; F&quot;_-;_-* &quot;-&quot;&quot; F&quot;_-;_-@_-"/>
    <numFmt numFmtId="209" formatCode="_-* #,##0.00&quot; F&quot;_-;\-* #,##0.00&quot; F&quot;_-;_-* &quot;-&quot;??&quot; F&quot;_-;_-@_-"/>
    <numFmt numFmtId="210" formatCode="#,##0.00\ &quot;FB&quot;;\-#,##0.00\ &quot;FB&quot;"/>
    <numFmt numFmtId="211" formatCode="&quot;SFr.&quot;#,##0;[Red]&quot;SFr.&quot;\-#,##0"/>
    <numFmt numFmtId="212" formatCode="_-* #,##0.0_-;\-* #,##0.0_-;_-* &quot;-&quot;??_-;_-@_-"/>
    <numFmt numFmtId="213" formatCode="\##,##0;\-\##,##0"/>
    <numFmt numFmtId="214" formatCode="#,##0;\(#,##0\)"/>
    <numFmt numFmtId="215" formatCode="_-&quot;$&quot;* #,##0.00_-;\-&quot;$&quot;* #,##0.00_-;_-&quot;$&quot;* &quot;-&quot;??_-;_-@_-"/>
    <numFmt numFmtId="216" formatCode="\$#,##0.000;[Red]\$#,##0.000"/>
    <numFmt numFmtId="217" formatCode="[$USD]\ #,##0.00"/>
    <numFmt numFmtId="218" formatCode="&quot;$&quot;#.##0_);&quot;₩&quot;&quot;₩&quot;&quot;₩&quot;&quot;₩&quot;&quot;₩&quot;&quot;₩&quot;\(&quot;$&quot;#.##0&quot;₩&quot;&quot;₩&quot;&quot;₩&quot;&quot;₩&quot;&quot;₩&quot;&quot;₩&quot;\)"/>
    <numFmt numFmtId="219" formatCode="_-* #,##0_-;\-* #,##0_-;_-* &quot;-&quot;??_-;_-@_-"/>
    <numFmt numFmtId="220" formatCode="&quot;₩&quot;#,##0;[Red]&quot;₩&quot;&quot;₩&quot;&quot;₩&quot;&quot;₩&quot;\-#,##0"/>
    <numFmt numFmtId="221" formatCode="0.0%;\(0.0%\)"/>
    <numFmt numFmtId="222" formatCode="#,##0.0;[Red]\(#,##0.0\)"/>
    <numFmt numFmtId="223" formatCode="#,##0.0000000000_ "/>
    <numFmt numFmtId="224" formatCode="#,##0.000_ "/>
    <numFmt numFmtId="225" formatCode="_-* #,##0.000_-;\-* #,##0.000_-;_-* &quot;-&quot;???_-;_-@_-"/>
    <numFmt numFmtId="226" formatCode="_-* #,##0.0000_-;\-* #,##0.0000_-;_-* &quot;-&quot;_-;_-@_-"/>
    <numFmt numFmtId="227" formatCode="#,##0.00000_ "/>
  </numFmts>
  <fonts count="10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34"/>
    </font>
    <font>
      <b/>
      <sz val="20"/>
      <name val="Times New Roman"/>
      <family val="1"/>
    </font>
    <font>
      <sz val="8"/>
      <name val="Calibri"/>
      <family val="2"/>
      <charset val="129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8"/>
      <name val="돋움"/>
      <family val="3"/>
      <charset val="134"/>
    </font>
    <font>
      <b/>
      <sz val="11"/>
      <name val="Times New Roman"/>
      <family val="1"/>
    </font>
    <font>
      <b/>
      <sz val="11"/>
      <color rgb="FF000000"/>
      <name val="굴림"/>
      <family val="3"/>
      <charset val="129"/>
    </font>
    <font>
      <b/>
      <sz val="10.5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9"/>
      <name val="Times New Roman"/>
      <family val="1"/>
    </font>
    <font>
      <b/>
      <sz val="11"/>
      <name val="돋움"/>
      <family val="3"/>
      <charset val="134"/>
    </font>
    <font>
      <sz val="12"/>
      <name val="바탕체"/>
      <family val="1"/>
      <charset val="134"/>
    </font>
    <font>
      <sz val="9"/>
      <name val="Times New Roman"/>
      <family val="1"/>
    </font>
    <font>
      <b/>
      <i/>
      <sz val="10"/>
      <name val="바탕"/>
      <family val="1"/>
      <charset val="134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9"/>
      <color theme="1"/>
      <name val="돋움"/>
      <family val="3"/>
      <charset val="129"/>
    </font>
    <font>
      <sz val="8"/>
      <name val="Times New Roman"/>
      <family val="1"/>
    </font>
    <font>
      <sz val="10"/>
      <color indexed="16"/>
      <name val="MS Serif"/>
      <family val="1"/>
    </font>
    <font>
      <sz val="10"/>
      <color indexed="8"/>
      <name val="Times New Roman"/>
      <family val="1"/>
    </font>
    <font>
      <sz val="1"/>
      <color indexed="8"/>
      <name val="Courier"/>
      <family val="3"/>
    </font>
    <font>
      <sz val="12"/>
      <name val="톝꾄ⁿ톱"/>
      <charset val="134"/>
    </font>
    <font>
      <b/>
      <sz val="14"/>
      <name val="Helv"/>
      <family val="2"/>
    </font>
    <font>
      <sz val="12"/>
      <name val="바탕체"/>
      <family val="1"/>
    </font>
    <font>
      <b/>
      <sz val="8"/>
      <color indexed="8"/>
      <name val="Helv"/>
      <family val="2"/>
    </font>
    <font>
      <sz val="10"/>
      <name val="굴림체"/>
      <family val="3"/>
      <charset val="134"/>
    </font>
    <font>
      <sz val="12"/>
      <name val="|??´¸ⓒ"/>
      <family val="2"/>
    </font>
    <font>
      <b/>
      <sz val="11"/>
      <color indexed="63"/>
      <name val="Calibri"/>
      <family val="2"/>
    </font>
    <font>
      <sz val="12"/>
      <name val="Arial MT"/>
      <family val="2"/>
    </font>
    <font>
      <sz val="11"/>
      <color indexed="62"/>
      <name val="Calibri"/>
      <family val="2"/>
    </font>
    <font>
      <b/>
      <sz val="11"/>
      <color indexed="56"/>
      <name val="Calibri"/>
      <family val="2"/>
    </font>
    <font>
      <sz val="9"/>
      <name val="Arial Narrow"/>
      <family val="2"/>
    </font>
    <font>
      <b/>
      <sz val="12"/>
      <color indexed="8"/>
      <name val="Times New Roman"/>
      <family val="1"/>
    </font>
    <font>
      <sz val="12"/>
      <name val="돋움체"/>
      <family val="3"/>
      <charset val="134"/>
    </font>
    <font>
      <sz val="11"/>
      <color indexed="8"/>
      <name val="Calibri"/>
      <family val="2"/>
    </font>
    <font>
      <sz val="11"/>
      <name val="¾©"/>
      <family val="2"/>
    </font>
    <font>
      <b/>
      <sz val="12"/>
      <name val="Arial"/>
      <family val="2"/>
    </font>
    <font>
      <i/>
      <sz val="1"/>
      <color indexed="8"/>
      <name val="Courier"/>
      <family val="3"/>
    </font>
    <font>
      <sz val="11"/>
      <color indexed="9"/>
      <name val="Calibri"/>
      <family val="2"/>
    </font>
    <font>
      <sz val="12"/>
      <name val="System"/>
      <family val="2"/>
    </font>
    <font>
      <sz val="12"/>
      <name val="Helv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8"/>
      <name val="Arial"/>
      <family val="2"/>
    </font>
    <font>
      <sz val="7"/>
      <name val="바탕체"/>
      <family val="1"/>
    </font>
    <font>
      <sz val="10"/>
      <name val="MS Sans Serif"/>
      <family val="2"/>
    </font>
    <font>
      <b/>
      <sz val="12"/>
      <name val="Helv"/>
      <family val="2"/>
    </font>
    <font>
      <sz val="12"/>
      <name val="Times New Roman"/>
      <family val="1"/>
    </font>
    <font>
      <sz val="12"/>
      <name val="¹ÙÅÁÃ¼"/>
      <family val="2"/>
    </font>
    <font>
      <b/>
      <sz val="10"/>
      <color indexed="58"/>
      <name val="Arial"/>
      <family val="2"/>
    </font>
    <font>
      <sz val="10"/>
      <name val="Univers (WN)"/>
      <family val="2"/>
    </font>
    <font>
      <b/>
      <sz val="12"/>
      <name val="돋움체"/>
      <family val="3"/>
      <charset val="134"/>
    </font>
    <font>
      <sz val="1"/>
      <color indexed="16"/>
      <name val="Courier"/>
      <family val="3"/>
    </font>
    <font>
      <sz val="12"/>
      <name val="굴림체"/>
      <family val="3"/>
      <charset val="134"/>
    </font>
    <font>
      <b/>
      <sz val="11"/>
      <name val="Helv"/>
      <family val="2"/>
    </font>
    <font>
      <sz val="12"/>
      <name val="¨IoUAAA¡§u"/>
      <family val="2"/>
    </font>
    <font>
      <sz val="12"/>
      <name val="¹UAAA¼"/>
      <family val="2"/>
    </font>
    <font>
      <sz val="10"/>
      <name val="±¼¸²Ã¼"/>
      <family val="2"/>
    </font>
    <font>
      <sz val="12"/>
      <name val="ⓒoUAAA¨u"/>
      <family val="2"/>
    </font>
    <font>
      <sz val="11"/>
      <color indexed="20"/>
      <name val="Calibri"/>
      <family val="2"/>
    </font>
    <font>
      <sz val="8"/>
      <name val="¹UAAA¼"/>
      <family val="2"/>
    </font>
    <font>
      <b/>
      <sz val="12"/>
      <name val="Arial MT"/>
      <family val="2"/>
    </font>
    <font>
      <sz val="12"/>
      <name val="±¼¸²A¼"/>
      <family val="2"/>
    </font>
    <font>
      <sz val="10"/>
      <name val="MS Serif"/>
      <family val="1"/>
    </font>
    <font>
      <sz val="12"/>
      <color indexed="8"/>
      <name val="바탕체"/>
      <family val="1"/>
    </font>
    <font>
      <i/>
      <sz val="10"/>
      <color indexed="8"/>
      <name val="궁서체"/>
      <family val="1"/>
      <charset val="134"/>
    </font>
    <font>
      <sz val="9"/>
      <name val="Arial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u/>
      <sz val="9.35"/>
      <color indexed="12"/>
      <name val="돋움"/>
      <family val="3"/>
      <charset val="134"/>
    </font>
    <font>
      <sz val="11"/>
      <color indexed="10"/>
      <name val="Calibri"/>
      <family val="2"/>
    </font>
    <font>
      <i/>
      <u/>
      <sz val="1"/>
      <color indexed="24"/>
      <name val="Courier"/>
      <family val="3"/>
    </font>
    <font>
      <b/>
      <sz val="1"/>
      <color indexed="8"/>
      <name val="Courier"/>
      <family val="3"/>
    </font>
    <font>
      <sz val="10"/>
      <name val="태-물방울B"/>
      <charset val="134"/>
    </font>
    <font>
      <i/>
      <sz val="10"/>
      <name val="바탕체"/>
      <family val="1"/>
    </font>
    <font>
      <u/>
      <sz val="7.5"/>
      <color indexed="36"/>
      <name val="Arial"/>
      <family val="2"/>
    </font>
    <font>
      <sz val="12"/>
      <name val="Arial"/>
      <family val="2"/>
    </font>
    <font>
      <sz val="18"/>
      <color indexed="12"/>
      <name val="MS Sans Serif"/>
      <family val="2"/>
    </font>
    <font>
      <sz val="24"/>
      <color indexed="13"/>
      <name val="Helv"/>
      <family val="2"/>
    </font>
    <font>
      <b/>
      <sz val="18"/>
      <color indexed="56"/>
      <name val="Cambria"/>
      <family val="1"/>
    </font>
    <font>
      <sz val="14"/>
      <name val="뼻뮝"/>
      <charset val="134"/>
    </font>
    <font>
      <sz val="10"/>
      <name val="명조"/>
      <charset val="134"/>
    </font>
    <font>
      <u/>
      <sz val="9.35"/>
      <color indexed="36"/>
      <name val="돋움"/>
      <family val="3"/>
      <charset val="134"/>
    </font>
    <font>
      <sz val="12"/>
      <name val="Courier New"/>
      <family val="3"/>
    </font>
    <font>
      <sz val="9"/>
      <name val="바탕체"/>
      <family val="1"/>
    </font>
    <font>
      <sz val="10"/>
      <name val="QBJ-명조10pt"/>
      <charset val="134"/>
    </font>
    <font>
      <sz val="9"/>
      <color indexed="8"/>
      <name val="굴림체"/>
      <family val="3"/>
      <charset val="134"/>
    </font>
    <font>
      <sz val="11"/>
      <color indexed="8"/>
      <name val="맑은 고딕"/>
      <family val="3"/>
      <charset val="134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가을체"/>
      <family val="1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0"/>
      <name val="바탕"/>
      <family val="1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 tint="0.59999389629810485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54">
    <xf numFmtId="0" fontId="0" fillId="0" borderId="0">
      <alignment vertical="center"/>
    </xf>
    <xf numFmtId="0" fontId="2" fillId="0" borderId="0"/>
    <xf numFmtId="165" fontId="2" fillId="0" borderId="0" applyFont="0" applyFill="0" applyBorder="0" applyAlignment="0" applyProtection="0"/>
    <xf numFmtId="0" fontId="12" fillId="0" borderId="0"/>
    <xf numFmtId="0" fontId="16" fillId="0" borderId="0"/>
    <xf numFmtId="0" fontId="12" fillId="0" borderId="0"/>
    <xf numFmtId="165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8" fillId="0" borderId="0" applyFill="0" applyBorder="0" applyProtection="0"/>
    <xf numFmtId="0" fontId="28" fillId="0" borderId="0"/>
    <xf numFmtId="0" fontId="2" fillId="0" borderId="0" applyFont="0" applyFill="0" applyBorder="0" applyAlignment="0" applyProtection="0"/>
    <xf numFmtId="3" fontId="38" fillId="0" borderId="12"/>
    <xf numFmtId="0" fontId="28" fillId="0" borderId="0"/>
    <xf numFmtId="0" fontId="28" fillId="0" borderId="0"/>
    <xf numFmtId="0" fontId="2" fillId="0" borderId="0" applyFont="0" applyFill="0" applyBorder="0" applyAlignment="0" applyProtection="0"/>
    <xf numFmtId="0" fontId="28" fillId="0" borderId="0"/>
    <xf numFmtId="0" fontId="28" fillId="0" borderId="0"/>
    <xf numFmtId="0" fontId="12" fillId="0" borderId="0" applyNumberFormat="0" applyFill="0" applyBorder="0" applyAlignment="0" applyProtection="0"/>
    <xf numFmtId="0" fontId="26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1" fillId="0" borderId="0"/>
    <xf numFmtId="0" fontId="12" fillId="0" borderId="0" applyNumberFormat="0" applyFill="0" applyBorder="0" applyAlignment="0" applyProtection="0"/>
    <xf numFmtId="166" fontId="30" fillId="0" borderId="7">
      <alignment vertical="center"/>
    </xf>
    <xf numFmtId="0" fontId="28" fillId="0" borderId="7">
      <alignment vertical="center"/>
    </xf>
    <xf numFmtId="0" fontId="28" fillId="0" borderId="7">
      <alignment vertical="center"/>
    </xf>
    <xf numFmtId="191" fontId="30" fillId="0" borderId="7">
      <alignment vertical="center"/>
    </xf>
    <xf numFmtId="191" fontId="30" fillId="0" borderId="7">
      <alignment vertical="center"/>
    </xf>
    <xf numFmtId="190" fontId="30" fillId="0" borderId="7">
      <alignment vertical="center"/>
    </xf>
    <xf numFmtId="0" fontId="28" fillId="0" borderId="0"/>
    <xf numFmtId="0" fontId="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0" fillId="0" borderId="0"/>
    <xf numFmtId="0" fontId="12" fillId="0" borderId="0"/>
    <xf numFmtId="0" fontId="2" fillId="0" borderId="0" applyFont="0" applyFill="0" applyBorder="0" applyAlignment="0" applyProtection="0"/>
    <xf numFmtId="0" fontId="28" fillId="0" borderId="0"/>
    <xf numFmtId="0" fontId="40" fillId="0" borderId="0"/>
    <xf numFmtId="0" fontId="24" fillId="0" borderId="21"/>
    <xf numFmtId="3" fontId="38" fillId="0" borderId="12"/>
    <xf numFmtId="3" fontId="38" fillId="0" borderId="12"/>
    <xf numFmtId="0" fontId="24" fillId="0" borderId="22"/>
    <xf numFmtId="0" fontId="24" fillId="0" borderId="23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9" fontId="56" fillId="0" borderId="7" applyBorder="0">
      <alignment vertical="center"/>
    </xf>
    <xf numFmtId="49" fontId="56" fillId="0" borderId="7" applyBorder="0">
      <alignment vertical="center"/>
    </xf>
    <xf numFmtId="4" fontId="49" fillId="0" borderId="24">
      <alignment vertical="center"/>
    </xf>
    <xf numFmtId="0" fontId="24" fillId="0" borderId="25"/>
    <xf numFmtId="0" fontId="20" fillId="0" borderId="26">
      <alignment horizontal="centerContinuous"/>
    </xf>
    <xf numFmtId="4" fontId="49" fillId="0" borderId="24">
      <alignment vertical="center"/>
    </xf>
    <xf numFmtId="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8" fillId="0" borderId="27">
      <alignment horizontal="center"/>
    </xf>
    <xf numFmtId="0" fontId="39" fillId="4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20" fillId="2" borderId="9">
      <alignment horizontal="centerContinuous"/>
    </xf>
    <xf numFmtId="0" fontId="20" fillId="10" borderId="26">
      <alignment horizontal="center"/>
    </xf>
    <xf numFmtId="0" fontId="37" fillId="0" borderId="15">
      <alignment horizontal="left"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20" fillId="0" borderId="26">
      <alignment horizontal="centerContinuous"/>
    </xf>
    <xf numFmtId="0" fontId="43" fillId="15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" fontId="54" fillId="0" borderId="28">
      <alignment horizontal="left" vertical="center" wrapText="1"/>
    </xf>
    <xf numFmtId="0" fontId="22" fillId="0" borderId="0">
      <alignment horizontal="center" wrapText="1"/>
      <protection locked="0"/>
    </xf>
    <xf numFmtId="0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7" fillId="0" borderId="0"/>
    <xf numFmtId="0" fontId="2" fillId="0" borderId="0" applyFont="0" applyFill="0" applyBorder="0" applyAlignment="0" applyProtection="0"/>
    <xf numFmtId="0" fontId="64" fillId="5" borderId="0" applyNumberFormat="0" applyBorder="0" applyAlignment="0" applyProtection="0">
      <alignment vertical="center"/>
    </xf>
    <xf numFmtId="0" fontId="2" fillId="0" borderId="0" applyFont="0" applyFill="0" applyBorder="0" applyAlignment="0" applyProtection="0">
      <alignment horizontal="right"/>
    </xf>
    <xf numFmtId="0" fontId="66" fillId="0" borderId="0"/>
    <xf numFmtId="0" fontId="2" fillId="0" borderId="0" applyFont="0" applyFill="0" applyBorder="0" applyAlignment="0" applyProtection="0"/>
    <xf numFmtId="2" fontId="2" fillId="0" borderId="0" applyFont="0" applyFill="0" applyBorder="0" applyAlignment="0"/>
    <xf numFmtId="0" fontId="44" fillId="0" borderId="0"/>
    <xf numFmtId="0" fontId="63" fillId="0" borderId="0"/>
    <xf numFmtId="0" fontId="60" fillId="0" borderId="0"/>
    <xf numFmtId="0" fontId="65" fillId="0" borderId="0"/>
    <xf numFmtId="0" fontId="53" fillId="0" borderId="0"/>
    <xf numFmtId="0" fontId="67" fillId="0" borderId="0"/>
    <xf numFmtId="0" fontId="44" fillId="0" borderId="0"/>
    <xf numFmtId="0" fontId="44" fillId="0" borderId="0"/>
    <xf numFmtId="0" fontId="53" fillId="0" borderId="0"/>
    <xf numFmtId="0" fontId="61" fillId="0" borderId="0"/>
    <xf numFmtId="0" fontId="53" fillId="0" borderId="0"/>
    <xf numFmtId="0" fontId="61" fillId="0" borderId="0"/>
    <xf numFmtId="0" fontId="53" fillId="0" borderId="0"/>
    <xf numFmtId="0" fontId="61" fillId="0" borderId="0"/>
    <xf numFmtId="0" fontId="62" fillId="0" borderId="0"/>
    <xf numFmtId="182" fontId="12" fillId="0" borderId="0" applyFill="0" applyBorder="0" applyAlignment="0"/>
    <xf numFmtId="185" fontId="28" fillId="0" borderId="0" applyFill="0" applyBorder="0" applyAlignment="0"/>
    <xf numFmtId="187" fontId="17" fillId="0" borderId="0" applyFill="0" applyBorder="0" applyAlignment="0"/>
    <xf numFmtId="179" fontId="28" fillId="0" borderId="0" applyFill="0" applyBorder="0" applyAlignment="0"/>
    <xf numFmtId="189" fontId="28" fillId="0" borderId="0" applyFill="0" applyBorder="0" applyAlignment="0"/>
    <xf numFmtId="188" fontId="28" fillId="0" borderId="0" applyFill="0" applyBorder="0" applyAlignment="0"/>
    <xf numFmtId="184" fontId="28" fillId="0" borderId="0" applyFill="0" applyBorder="0" applyAlignment="0"/>
    <xf numFmtId="185" fontId="28" fillId="0" borderId="0" applyFill="0" applyBorder="0" applyAlignment="0"/>
    <xf numFmtId="0" fontId="72" fillId="23" borderId="29" applyNumberFormat="0" applyAlignment="0" applyProtection="0">
      <alignment vertical="center"/>
    </xf>
    <xf numFmtId="0" fontId="73" fillId="0" borderId="0"/>
    <xf numFmtId="0" fontId="74" fillId="24" borderId="30" applyNumberFormat="0" applyAlignment="0" applyProtection="0">
      <alignment vertical="center"/>
    </xf>
    <xf numFmtId="205" fontId="2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87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5" fillId="0" borderId="0"/>
    <xf numFmtId="3" fontId="2" fillId="0" borderId="0" applyFont="0" applyFill="0" applyBorder="0" applyAlignment="0" applyProtection="0"/>
    <xf numFmtId="0" fontId="68" fillId="0" borderId="0" applyNumberFormat="0" applyAlignment="0">
      <alignment horizontal="left"/>
    </xf>
    <xf numFmtId="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12" fillId="0" borderId="0"/>
    <xf numFmtId="0" fontId="45" fillId="0" borderId="0"/>
    <xf numFmtId="0" fontId="45" fillId="0" borderId="31"/>
    <xf numFmtId="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2" fillId="0" borderId="0"/>
    <xf numFmtId="0" fontId="23" fillId="0" borderId="0" applyNumberFormat="0" applyAlignment="0">
      <alignment horizontal="left"/>
    </xf>
    <xf numFmtId="207" fontId="2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25" fillId="0" borderId="0">
      <protection locked="0"/>
    </xf>
    <xf numFmtId="0" fontId="25" fillId="0" borderId="0">
      <protection locked="0"/>
    </xf>
    <xf numFmtId="0" fontId="42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42" fillId="0" borderId="0">
      <protection locked="0"/>
    </xf>
    <xf numFmtId="2" fontId="2" fillId="0" borderId="0" applyFont="0" applyFill="0" applyBorder="0" applyAlignment="0" applyProtection="0"/>
    <xf numFmtId="0" fontId="46" fillId="6" borderId="0" applyNumberFormat="0" applyBorder="0" applyAlignment="0" applyProtection="0">
      <alignment vertical="center"/>
    </xf>
    <xf numFmtId="0" fontId="47" fillId="23" borderId="0" applyNumberFormat="0" applyBorder="0" applyAlignment="0" applyProtection="0"/>
    <xf numFmtId="0" fontId="71" fillId="0" borderId="32" applyNumberFormat="0">
      <alignment vertical="center"/>
    </xf>
    <xf numFmtId="0" fontId="51" fillId="0" borderId="0">
      <alignment horizontal="left"/>
    </xf>
    <xf numFmtId="0" fontId="41" fillId="0" borderId="33" applyNumberFormat="0" applyAlignment="0" applyProtection="0">
      <alignment horizontal="left" vertical="center"/>
    </xf>
    <xf numFmtId="0" fontId="41" fillId="0" borderId="2">
      <alignment horizontal="left" vertical="center"/>
    </xf>
    <xf numFmtId="0" fontId="4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5" fillId="0" borderId="3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4" fillId="9" borderId="29" applyNumberFormat="0" applyAlignment="0" applyProtection="0">
      <alignment vertical="center"/>
    </xf>
    <xf numFmtId="0" fontId="47" fillId="10" borderId="12" applyNumberFormat="0" applyBorder="0" applyAlignment="0" applyProtection="0"/>
    <xf numFmtId="0" fontId="34" fillId="9" borderId="29" applyNumberFormat="0" applyAlignment="0" applyProtection="0">
      <alignment vertical="center"/>
    </xf>
    <xf numFmtId="0" fontId="57" fillId="0" borderId="17">
      <protection locked="0"/>
    </xf>
    <xf numFmtId="0" fontId="27" fillId="25" borderId="31"/>
    <xf numFmtId="0" fontId="2" fillId="0" borderId="0" applyNumberFormat="0" applyFont="0" applyFill="0" applyBorder="0" applyProtection="0">
      <alignment horizontal="left" vertical="center"/>
    </xf>
    <xf numFmtId="0" fontId="77" fillId="0" borderId="35" applyNumberFormat="0" applyFill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59" fillId="0" borderId="17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208" fontId="2" fillId="0" borderId="0" applyFont="0" applyFill="0" applyBorder="0" applyAlignment="0" applyProtection="0"/>
    <xf numFmtId="209" fontId="2" fillId="0" borderId="0" applyFont="0" applyFill="0" applyBorder="0" applyAlignment="0" applyProtection="0"/>
    <xf numFmtId="0" fontId="78" fillId="26" borderId="0" applyNumberFormat="0" applyBorder="0" applyAlignment="0" applyProtection="0">
      <alignment vertical="center"/>
    </xf>
    <xf numFmtId="37" fontId="79" fillId="0" borderId="0"/>
    <xf numFmtId="0" fontId="75" fillId="0" borderId="0"/>
    <xf numFmtId="193" fontId="28" fillId="0" borderId="0"/>
    <xf numFmtId="206" fontId="58" fillId="0" borderId="0"/>
    <xf numFmtId="0" fontId="28" fillId="0" borderId="0"/>
    <xf numFmtId="0" fontId="2" fillId="10" borderId="36" applyNumberFormat="0" applyFont="0" applyAlignment="0" applyProtection="0">
      <alignment vertical="center"/>
    </xf>
    <xf numFmtId="0" fontId="50" fillId="0" borderId="0"/>
    <xf numFmtId="0" fontId="32" fillId="23" borderId="37" applyNumberFormat="0" applyAlignment="0" applyProtection="0">
      <alignment vertical="center"/>
    </xf>
    <xf numFmtId="0" fontId="50" fillId="0" borderId="0"/>
    <xf numFmtId="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45" fillId="0" borderId="0"/>
    <xf numFmtId="0" fontId="12" fillId="0" borderId="0" applyNumberFormat="0" applyFill="0" applyBorder="0" applyAlignment="0" applyProtection="0">
      <alignment horizontal="left"/>
    </xf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204" fontId="70" fillId="0" borderId="38">
      <alignment vertical="center" wrapText="1"/>
    </xf>
    <xf numFmtId="0" fontId="52" fillId="0" borderId="0"/>
    <xf numFmtId="0" fontId="47" fillId="0" borderId="39" applyAlignment="0"/>
    <xf numFmtId="0" fontId="17" fillId="0" borderId="39"/>
    <xf numFmtId="0" fontId="58" fillId="0" borderId="0">
      <alignment vertical="center"/>
    </xf>
    <xf numFmtId="0" fontId="59" fillId="0" borderId="0"/>
    <xf numFmtId="40" fontId="29" fillId="0" borderId="0" applyBorder="0">
      <alignment horizontal="right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40">
      <alignment horizontal="center" vertical="center"/>
    </xf>
    <xf numFmtId="0" fontId="2" fillId="0" borderId="20" applyFont="0" applyAlignment="0"/>
    <xf numFmtId="0" fontId="2" fillId="0" borderId="41" applyFont="0" applyAlignment="0">
      <alignment horizontal="center"/>
    </xf>
    <xf numFmtId="0" fontId="2" fillId="0" borderId="42" applyBorder="0">
      <alignment horizontal="center" vertical="center" wrapText="1"/>
    </xf>
    <xf numFmtId="0" fontId="45" fillId="0" borderId="31"/>
    <xf numFmtId="0" fontId="87" fillId="0" borderId="0">
      <protection locked="0"/>
    </xf>
    <xf numFmtId="169" fontId="36" fillId="0" borderId="43">
      <alignment vertical="center"/>
    </xf>
    <xf numFmtId="0" fontId="61" fillId="0" borderId="0"/>
    <xf numFmtId="0" fontId="61" fillId="0" borderId="0"/>
    <xf numFmtId="0" fontId="88" fillId="23" borderId="0">
      <alignment horizontal="centerContinuous"/>
    </xf>
    <xf numFmtId="0" fontId="89" fillId="27" borderId="0"/>
    <xf numFmtId="0" fontId="90" fillId="0" borderId="0" applyNumberFormat="0" applyFill="0" applyBorder="0" applyAlignment="0" applyProtection="0">
      <alignment vertical="center"/>
    </xf>
    <xf numFmtId="0" fontId="2" fillId="0" borderId="44" applyNumberFormat="0" applyFont="0" applyFill="0" applyAlignment="0" applyProtection="0"/>
    <xf numFmtId="0" fontId="27" fillId="0" borderId="45"/>
    <xf numFmtId="0" fontId="27" fillId="0" borderId="31"/>
    <xf numFmtId="0" fontId="2" fillId="0" borderId="46">
      <alignment horizontal="center" vertical="center"/>
    </xf>
    <xf numFmtId="0" fontId="12" fillId="0" borderId="12" applyNumberFormat="0" applyFill="0">
      <alignment horizontal="left" vertical="center"/>
    </xf>
    <xf numFmtId="0" fontId="54" fillId="0" borderId="47">
      <alignment horizontal="left" vertical="center"/>
    </xf>
    <xf numFmtId="186" fontId="36" fillId="0" borderId="0"/>
    <xf numFmtId="0" fontId="2" fillId="0" borderId="20" applyAlignment="0"/>
    <xf numFmtId="210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Protection="0">
      <alignment horizontal="center" vertical="center" wrapText="1"/>
    </xf>
    <xf numFmtId="0" fontId="2" fillId="0" borderId="0" applyFont="0" applyFill="0" applyBorder="0" applyAlignment="0" applyProtection="0"/>
    <xf numFmtId="166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2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2" fillId="0" borderId="0">
      <protection locked="0"/>
    </xf>
    <xf numFmtId="212" fontId="28" fillId="0" borderId="0">
      <protection locked="0"/>
    </xf>
    <xf numFmtId="180" fontId="28" fillId="0" borderId="0">
      <protection locked="0"/>
    </xf>
    <xf numFmtId="0" fontId="83" fillId="0" borderId="0">
      <protection locked="0"/>
    </xf>
    <xf numFmtId="0" fontId="83" fillId="0" borderId="0">
      <protection locked="0"/>
    </xf>
    <xf numFmtId="49" fontId="84" fillId="0" borderId="38">
      <alignment horizontal="center" vertical="center" wrapText="1"/>
    </xf>
    <xf numFmtId="213" fontId="28" fillId="0" borderId="0"/>
    <xf numFmtId="0" fontId="28" fillId="0" borderId="0"/>
    <xf numFmtId="214" fontId="2" fillId="0" borderId="0" applyFont="0" applyFill="0" applyBorder="0" applyAlignment="0"/>
    <xf numFmtId="0" fontId="2" fillId="0" borderId="48" applyNumberFormat="0" applyFont="0" applyFill="0" applyAlignment="0" applyProtection="0"/>
    <xf numFmtId="0" fontId="2" fillId="0" borderId="10" applyNumberFormat="0" applyFont="0" applyFill="0" applyAlignment="0" applyProtection="0"/>
    <xf numFmtId="0" fontId="82" fillId="0" borderId="0">
      <protection locked="0"/>
    </xf>
    <xf numFmtId="0" fontId="12" fillId="0" borderId="0"/>
    <xf numFmtId="0" fontId="25" fillId="0" borderId="0">
      <protection locked="0"/>
    </xf>
    <xf numFmtId="0" fontId="25" fillId="0" borderId="0">
      <protection locked="0"/>
    </xf>
    <xf numFmtId="49" fontId="85" fillId="0" borderId="38">
      <alignment horizontal="center" vertical="center" wrapText="1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200" fontId="2" fillId="0" borderId="11" applyFont="0" applyFill="0" applyAlignment="0" applyProtection="0">
      <alignment horizontal="center" vertical="center"/>
    </xf>
    <xf numFmtId="0" fontId="2" fillId="0" borderId="0" applyFont="0" applyFill="0" applyBorder="0" applyAlignment="0" applyProtection="0"/>
    <xf numFmtId="0" fontId="52" fillId="0" borderId="0">
      <alignment vertical="center"/>
    </xf>
    <xf numFmtId="0" fontId="91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6" fontId="28" fillId="0" borderId="0">
      <alignment vertical="center"/>
    </xf>
    <xf numFmtId="217" fontId="2" fillId="0" borderId="0">
      <alignment vertical="center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166" fontId="2" fillId="0" borderId="0" applyFont="0" applyFill="0" applyBorder="0" applyAlignment="0" applyProtection="0"/>
    <xf numFmtId="0" fontId="2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2" fillId="0" borderId="48"/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>
      <alignment horizontal="center" vertical="center"/>
    </xf>
    <xf numFmtId="0" fontId="2" fillId="0" borderId="0" applyFont="0" applyFill="0" applyBorder="0" applyAlignment="0" applyProtection="0"/>
    <xf numFmtId="21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" fontId="25" fillId="0" borderId="0">
      <protection locked="0"/>
    </xf>
    <xf numFmtId="219" fontId="28" fillId="0" borderId="0">
      <protection locked="0"/>
    </xf>
    <xf numFmtId="220" fontId="28" fillId="0" borderId="0">
      <protection locked="0"/>
    </xf>
    <xf numFmtId="0" fontId="2" fillId="0" borderId="0" applyFont="0" applyFill="0" applyBorder="0" applyAlignment="0" applyProtection="0"/>
    <xf numFmtId="0" fontId="28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8" fontId="28" fillId="0" borderId="49">
      <alignment vertical="center"/>
    </xf>
    <xf numFmtId="9" fontId="95" fillId="0" borderId="0"/>
    <xf numFmtId="221" fontId="2" fillId="0" borderId="0" applyFont="0" applyFill="0" applyBorder="0" applyAlignment="0"/>
    <xf numFmtId="211" fontId="2" fillId="0" borderId="9" applyFont="0" applyFill="0" applyBorder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8" fillId="0" borderId="0">
      <protection locked="0"/>
    </xf>
    <xf numFmtId="0" fontId="96" fillId="0" borderId="0" applyFill="0" applyBorder="0" applyProtection="0">
      <alignment vertical="center"/>
    </xf>
    <xf numFmtId="0" fontId="69" fillId="0" borderId="0" applyFill="0" applyBorder="0" applyProtection="0">
      <alignment vertical="center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97" fillId="0" borderId="0"/>
    <xf numFmtId="0" fontId="98" fillId="0" borderId="0">
      <alignment vertical="center"/>
    </xf>
    <xf numFmtId="0" fontId="9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0" fontId="25" fillId="0" borderId="44">
      <protection locked="0"/>
    </xf>
    <xf numFmtId="0" fontId="28" fillId="0" borderId="0">
      <protection locked="0"/>
    </xf>
    <xf numFmtId="222" fontId="28" fillId="0" borderId="0">
      <protection locked="0"/>
    </xf>
    <xf numFmtId="192" fontId="28" fillId="0" borderId="0">
      <protection locked="0"/>
    </xf>
    <xf numFmtId="0" fontId="52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52" fillId="0" borderId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65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165" fontId="2" fillId="0" borderId="0" applyFont="0" applyFill="0" applyBorder="0" applyAlignment="0" applyProtection="0"/>
    <xf numFmtId="3" fontId="38" fillId="0" borderId="50"/>
    <xf numFmtId="166" fontId="30" fillId="0" borderId="7">
      <alignment vertical="center"/>
    </xf>
    <xf numFmtId="3" fontId="38" fillId="0" borderId="50"/>
    <xf numFmtId="3" fontId="38" fillId="0" borderId="50"/>
    <xf numFmtId="0" fontId="72" fillId="23" borderId="58" applyNumberFormat="0" applyAlignment="0" applyProtection="0">
      <alignment vertical="center"/>
    </xf>
    <xf numFmtId="165" fontId="2" fillId="0" borderId="0" applyFont="0" applyFill="0" applyBorder="0" applyAlignment="0" applyProtection="0"/>
    <xf numFmtId="0" fontId="45" fillId="0" borderId="59"/>
    <xf numFmtId="0" fontId="41" fillId="0" borderId="56">
      <alignment horizontal="left" vertical="center"/>
    </xf>
    <xf numFmtId="0" fontId="34" fillId="9" borderId="58" applyNumberFormat="0" applyAlignment="0" applyProtection="0">
      <alignment vertical="center"/>
    </xf>
    <xf numFmtId="0" fontId="47" fillId="10" borderId="50" applyNumberFormat="0" applyBorder="0" applyAlignment="0" applyProtection="0"/>
    <xf numFmtId="0" fontId="27" fillId="25" borderId="59"/>
    <xf numFmtId="0" fontId="2" fillId="10" borderId="60" applyNumberFormat="0" applyFont="0" applyAlignment="0" applyProtection="0">
      <alignment vertical="center"/>
    </xf>
    <xf numFmtId="0" fontId="32" fillId="23" borderId="61" applyNumberFormat="0" applyAlignment="0" applyProtection="0">
      <alignment vertical="center"/>
    </xf>
    <xf numFmtId="0" fontId="45" fillId="0" borderId="59"/>
    <xf numFmtId="0" fontId="27" fillId="0" borderId="59"/>
    <xf numFmtId="0" fontId="12" fillId="0" borderId="50" applyNumberFormat="0" applyFill="0">
      <alignment horizontal="left" vertical="center"/>
    </xf>
    <xf numFmtId="166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0" fontId="102" fillId="0" borderId="0"/>
    <xf numFmtId="0" fontId="1" fillId="0" borderId="0">
      <alignment vertical="center"/>
    </xf>
    <xf numFmtId="0" fontId="103" fillId="0" borderId="0"/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/>
  </cellStyleXfs>
  <cellXfs count="37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6" fillId="2" borderId="4" xfId="1" applyFont="1" applyFill="1" applyBorder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0" borderId="0" xfId="1" applyFont="1" applyAlignment="1">
      <alignment horizontal="left" vertical="center"/>
    </xf>
    <xf numFmtId="0" fontId="6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5" fillId="3" borderId="0" xfId="1" applyFont="1" applyFill="1" applyAlignment="1">
      <alignment vertical="center"/>
    </xf>
    <xf numFmtId="0" fontId="9" fillId="3" borderId="0" xfId="1" applyFont="1" applyFill="1" applyAlignment="1">
      <alignment horizontal="left" vertical="center"/>
    </xf>
    <xf numFmtId="14" fontId="9" fillId="3" borderId="0" xfId="1" applyNumberFormat="1" applyFont="1" applyFill="1" applyAlignment="1">
      <alignment vertical="center"/>
    </xf>
    <xf numFmtId="168" fontId="6" fillId="3" borderId="0" xfId="1" applyNumberFormat="1" applyFont="1" applyFill="1" applyAlignment="1">
      <alignment vertical="center"/>
    </xf>
    <xf numFmtId="168" fontId="6" fillId="2" borderId="0" xfId="1" applyNumberFormat="1" applyFont="1" applyFill="1" applyAlignment="1">
      <alignment vertical="center"/>
    </xf>
    <xf numFmtId="0" fontId="5" fillId="2" borderId="8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7" xfId="1" applyFont="1" applyBorder="1" applyAlignment="1">
      <alignment horizontal="left" vertical="center"/>
    </xf>
    <xf numFmtId="0" fontId="6" fillId="0" borderId="0" xfId="1" applyFont="1" applyAlignment="1">
      <alignment horizontal="right" vertical="center"/>
    </xf>
    <xf numFmtId="0" fontId="11" fillId="0" borderId="7" xfId="1" applyFont="1" applyBorder="1" applyAlignment="1">
      <alignment vertical="center"/>
    </xf>
    <xf numFmtId="0" fontId="6" fillId="0" borderId="9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vertical="center"/>
    </xf>
    <xf numFmtId="169" fontId="6" fillId="0" borderId="4" xfId="1" applyNumberFormat="1" applyFont="1" applyBorder="1" applyAlignment="1">
      <alignment horizontal="left" vertical="center"/>
    </xf>
    <xf numFmtId="0" fontId="5" fillId="0" borderId="5" xfId="1" applyFont="1" applyBorder="1" applyAlignment="1">
      <alignment horizontal="right" vertical="center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38" fontId="5" fillId="0" borderId="5" xfId="1" applyNumberFormat="1" applyFont="1" applyBorder="1" applyAlignment="1">
      <alignment horizontal="left" vertical="center"/>
    </xf>
    <xf numFmtId="38" fontId="5" fillId="0" borderId="5" xfId="1" applyNumberFormat="1" applyFont="1" applyBorder="1" applyAlignment="1">
      <alignment vertical="center"/>
    </xf>
    <xf numFmtId="0" fontId="7" fillId="0" borderId="7" xfId="3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6" fillId="0" borderId="7" xfId="1" applyFont="1" applyBorder="1" applyAlignment="1">
      <alignment vertical="center"/>
    </xf>
    <xf numFmtId="0" fontId="5" fillId="0" borderId="0" xfId="1" applyFont="1" applyAlignment="1">
      <alignment horizontal="right" vertical="center"/>
    </xf>
    <xf numFmtId="0" fontId="5" fillId="0" borderId="0" xfId="1" applyFont="1" applyAlignment="1">
      <alignment horizontal="left"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left" vertical="center"/>
    </xf>
    <xf numFmtId="169" fontId="9" fillId="3" borderId="7" xfId="1" applyNumberFormat="1" applyFont="1" applyFill="1" applyBorder="1" applyAlignment="1">
      <alignment horizontal="left" vertical="center"/>
    </xf>
    <xf numFmtId="0" fontId="14" fillId="3" borderId="0" xfId="1" applyFont="1" applyFill="1" applyAlignment="1">
      <alignment horizontal="left" vertical="center"/>
    </xf>
    <xf numFmtId="0" fontId="6" fillId="3" borderId="0" xfId="1" applyFont="1" applyFill="1" applyAlignment="1">
      <alignment vertical="center"/>
    </xf>
    <xf numFmtId="0" fontId="5" fillId="3" borderId="0" xfId="1" applyFont="1" applyFill="1" applyAlignment="1">
      <alignment horizontal="left" vertical="center"/>
    </xf>
    <xf numFmtId="0" fontId="2" fillId="0" borderId="0" xfId="1" applyAlignment="1">
      <alignment vertical="center"/>
    </xf>
    <xf numFmtId="0" fontId="6" fillId="3" borderId="7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14" fillId="0" borderId="0" xfId="1" applyFont="1" applyAlignment="1">
      <alignment horizontal="left" vertical="center"/>
    </xf>
    <xf numFmtId="0" fontId="9" fillId="2" borderId="7" xfId="1" applyFont="1" applyFill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5" fillId="2" borderId="0" xfId="1" applyFont="1" applyFill="1" applyAlignment="1">
      <alignment horizontal="left" vertical="center"/>
    </xf>
    <xf numFmtId="38" fontId="5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right" vertical="center" wrapText="1"/>
    </xf>
    <xf numFmtId="0" fontId="5" fillId="2" borderId="0" xfId="4" applyFont="1" applyFill="1" applyAlignment="1" applyProtection="1">
      <alignment horizontal="center" vertical="center"/>
      <protection locked="0"/>
    </xf>
    <xf numFmtId="170" fontId="5" fillId="2" borderId="0" xfId="1" applyNumberFormat="1" applyFont="1" applyFill="1" applyAlignment="1">
      <alignment horizontal="left" vertical="center"/>
    </xf>
    <xf numFmtId="171" fontId="5" fillId="2" borderId="0" xfId="1" applyNumberFormat="1" applyFont="1" applyFill="1" applyAlignment="1">
      <alignment horizontal="left" vertical="center"/>
    </xf>
    <xf numFmtId="49" fontId="6" fillId="2" borderId="4" xfId="1" applyNumberFormat="1" applyFont="1" applyFill="1" applyBorder="1" applyAlignment="1">
      <alignment horizontal="left" vertical="center"/>
    </xf>
    <xf numFmtId="49" fontId="6" fillId="2" borderId="5" xfId="1" applyNumberFormat="1" applyFont="1" applyFill="1" applyBorder="1" applyAlignment="1">
      <alignment horizontal="left" vertical="center"/>
    </xf>
    <xf numFmtId="172" fontId="6" fillId="2" borderId="4" xfId="1" applyNumberFormat="1" applyFont="1" applyFill="1" applyBorder="1" applyAlignment="1">
      <alignment horizontal="left" vertical="center"/>
    </xf>
    <xf numFmtId="172" fontId="6" fillId="2" borderId="5" xfId="1" applyNumberFormat="1" applyFont="1" applyFill="1" applyBorder="1" applyAlignment="1">
      <alignment horizontal="left" vertical="center"/>
    </xf>
    <xf numFmtId="172" fontId="6" fillId="2" borderId="7" xfId="1" applyNumberFormat="1" applyFont="1" applyFill="1" applyBorder="1" applyAlignment="1">
      <alignment horizontal="left" vertical="center"/>
    </xf>
    <xf numFmtId="172" fontId="6" fillId="2" borderId="10" xfId="1" applyNumberFormat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left" vertical="center"/>
    </xf>
    <xf numFmtId="173" fontId="6" fillId="2" borderId="9" xfId="1" applyNumberFormat="1" applyFont="1" applyFill="1" applyBorder="1" applyAlignment="1">
      <alignment horizontal="left" vertical="center"/>
    </xf>
    <xf numFmtId="173" fontId="6" fillId="2" borderId="10" xfId="1" applyNumberFormat="1" applyFont="1" applyFill="1" applyBorder="1" applyAlignment="1">
      <alignment horizontal="left" vertical="center"/>
    </xf>
    <xf numFmtId="0" fontId="5" fillId="2" borderId="7" xfId="1" applyFont="1" applyFill="1" applyBorder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5" fillId="2" borderId="0" xfId="1" applyFont="1" applyFill="1" applyAlignment="1">
      <alignment horizontal="right" vertical="center"/>
    </xf>
    <xf numFmtId="38" fontId="6" fillId="2" borderId="0" xfId="1" applyNumberFormat="1" applyFont="1" applyFill="1" applyAlignment="1">
      <alignment horizontal="left" vertical="center"/>
    </xf>
    <xf numFmtId="38" fontId="6" fillId="2" borderId="17" xfId="1" applyNumberFormat="1" applyFont="1" applyFill="1" applyBorder="1" applyAlignment="1">
      <alignment horizontal="left" vertical="center"/>
    </xf>
    <xf numFmtId="38" fontId="5" fillId="2" borderId="17" xfId="1" applyNumberFormat="1" applyFont="1" applyFill="1" applyBorder="1" applyAlignment="1">
      <alignment horizontal="left" vertical="center"/>
    </xf>
    <xf numFmtId="0" fontId="6" fillId="2" borderId="17" xfId="1" applyFont="1" applyFill="1" applyBorder="1" applyAlignment="1">
      <alignment horizontal="left" vertical="center"/>
    </xf>
    <xf numFmtId="165" fontId="6" fillId="2" borderId="17" xfId="7" applyFont="1" applyFill="1" applyBorder="1" applyAlignment="1">
      <alignment horizontal="left" vertical="center"/>
    </xf>
    <xf numFmtId="0" fontId="5" fillId="2" borderId="9" xfId="1" applyFont="1" applyFill="1" applyBorder="1" applyAlignment="1">
      <alignment horizontal="left" vertical="center"/>
    </xf>
    <xf numFmtId="0" fontId="5" fillId="2" borderId="10" xfId="1" applyFont="1" applyFill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5" fillId="2" borderId="10" xfId="1" applyFont="1" applyFill="1" applyBorder="1" applyAlignment="1">
      <alignment horizontal="right" vertical="center"/>
    </xf>
    <xf numFmtId="169" fontId="5" fillId="2" borderId="10" xfId="1" applyNumberFormat="1" applyFont="1" applyFill="1" applyBorder="1" applyAlignment="1">
      <alignment horizontal="center" vertical="center"/>
    </xf>
    <xf numFmtId="38" fontId="5" fillId="2" borderId="10" xfId="1" applyNumberFormat="1" applyFont="1" applyFill="1" applyBorder="1" applyAlignment="1">
      <alignment horizontal="left" vertical="center"/>
    </xf>
    <xf numFmtId="38" fontId="5" fillId="2" borderId="10" xfId="1" applyNumberFormat="1" applyFont="1" applyFill="1" applyBorder="1" applyAlignment="1">
      <alignment horizontal="center" vertical="center"/>
    </xf>
    <xf numFmtId="175" fontId="5" fillId="2" borderId="10" xfId="1" applyNumberFormat="1" applyFont="1" applyFill="1" applyBorder="1" applyAlignment="1">
      <alignment horizontal="center" vertical="center"/>
    </xf>
    <xf numFmtId="169" fontId="5" fillId="2" borderId="0" xfId="1" applyNumberFormat="1" applyFont="1" applyFill="1" applyAlignment="1">
      <alignment horizontal="center" vertical="center"/>
    </xf>
    <xf numFmtId="38" fontId="5" fillId="2" borderId="0" xfId="1" applyNumberFormat="1" applyFont="1" applyFill="1" applyAlignment="1">
      <alignment horizontal="center" vertical="center"/>
    </xf>
    <xf numFmtId="175" fontId="5" fillId="2" borderId="0" xfId="1" applyNumberFormat="1" applyFont="1" applyFill="1" applyAlignment="1">
      <alignment horizontal="center" vertical="center"/>
    </xf>
    <xf numFmtId="167" fontId="5" fillId="2" borderId="0" xfId="7" applyNumberFormat="1" applyFont="1" applyFill="1" applyBorder="1" applyAlignment="1">
      <alignment horizontal="center" vertical="center"/>
    </xf>
    <xf numFmtId="38" fontId="5" fillId="2" borderId="0" xfId="1" applyNumberFormat="1" applyFont="1" applyFill="1" applyAlignment="1">
      <alignment vertical="center"/>
    </xf>
    <xf numFmtId="165" fontId="5" fillId="2" borderId="0" xfId="2" applyFont="1" applyFill="1" applyAlignment="1">
      <alignment vertical="center"/>
    </xf>
    <xf numFmtId="167" fontId="5" fillId="2" borderId="0" xfId="2" applyNumberFormat="1" applyFont="1" applyFill="1" applyAlignment="1">
      <alignment vertical="center"/>
    </xf>
    <xf numFmtId="169" fontId="5" fillId="2" borderId="0" xfId="1" applyNumberFormat="1" applyFont="1" applyFill="1" applyAlignment="1">
      <alignment vertical="center"/>
    </xf>
    <xf numFmtId="0" fontId="6" fillId="0" borderId="0" xfId="1" applyFont="1" applyAlignment="1">
      <alignment horizontal="centerContinuous" vertical="center"/>
    </xf>
    <xf numFmtId="0" fontId="5" fillId="2" borderId="11" xfId="1" applyFont="1" applyFill="1" applyBorder="1" applyAlignment="1">
      <alignment vertical="center"/>
    </xf>
    <xf numFmtId="0" fontId="5" fillId="0" borderId="8" xfId="1" applyFont="1" applyBorder="1" applyAlignment="1">
      <alignment horizontal="left" vertical="center"/>
    </xf>
    <xf numFmtId="0" fontId="5" fillId="2" borderId="7" xfId="4" applyFont="1" applyFill="1" applyBorder="1" applyAlignment="1" applyProtection="1">
      <alignment horizontal="center" vertical="center"/>
      <protection locked="0"/>
    </xf>
    <xf numFmtId="171" fontId="6" fillId="2" borderId="0" xfId="1" applyNumberFormat="1" applyFont="1" applyFill="1" applyAlignment="1">
      <alignment horizontal="center" vertical="center"/>
    </xf>
    <xf numFmtId="49" fontId="6" fillId="2" borderId="9" xfId="5" applyNumberFormat="1" applyFont="1" applyFill="1" applyBorder="1" applyAlignment="1">
      <alignment horizontal="center" vertical="center" wrapText="1"/>
    </xf>
    <xf numFmtId="49" fontId="6" fillId="2" borderId="10" xfId="5" applyNumberFormat="1" applyFont="1" applyFill="1" applyBorder="1" applyAlignment="1">
      <alignment horizontal="center" vertical="center" wrapText="1"/>
    </xf>
    <xf numFmtId="171" fontId="6" fillId="2" borderId="10" xfId="1" applyNumberFormat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vertical="center"/>
    </xf>
    <xf numFmtId="0" fontId="6" fillId="2" borderId="3" xfId="1" applyFont="1" applyFill="1" applyBorder="1" applyAlignment="1">
      <alignment vertical="center"/>
    </xf>
    <xf numFmtId="0" fontId="17" fillId="0" borderId="1" xfId="1" applyFont="1" applyBorder="1" applyAlignment="1">
      <alignment vertical="center"/>
    </xf>
    <xf numFmtId="0" fontId="17" fillId="0" borderId="2" xfId="1" applyFont="1" applyBorder="1" applyAlignment="1">
      <alignment vertical="center"/>
    </xf>
    <xf numFmtId="165" fontId="14" fillId="2" borderId="18" xfId="8" applyFont="1" applyFill="1" applyBorder="1" applyAlignment="1">
      <alignment vertical="center"/>
    </xf>
    <xf numFmtId="174" fontId="14" fillId="2" borderId="1" xfId="8" applyNumberFormat="1" applyFont="1" applyFill="1" applyBorder="1" applyAlignment="1">
      <alignment vertical="center"/>
    </xf>
    <xf numFmtId="40" fontId="14" fillId="2" borderId="9" xfId="1" applyNumberFormat="1" applyFont="1" applyFill="1" applyBorder="1" applyAlignment="1">
      <alignment vertical="center"/>
    </xf>
    <xf numFmtId="169" fontId="9" fillId="2" borderId="5" xfId="2" applyNumberFormat="1" applyFont="1" applyFill="1" applyBorder="1" applyAlignment="1">
      <alignment horizontal="center" vertical="center"/>
    </xf>
    <xf numFmtId="169" fontId="9" fillId="2" borderId="5" xfId="2" applyNumberFormat="1" applyFont="1" applyFill="1" applyBorder="1" applyAlignment="1">
      <alignment horizontal="right" vertical="center"/>
    </xf>
    <xf numFmtId="174" fontId="6" fillId="2" borderId="5" xfId="2" applyNumberFormat="1" applyFont="1" applyFill="1" applyBorder="1" applyAlignment="1">
      <alignment horizontal="center" vertical="center"/>
    </xf>
    <xf numFmtId="176" fontId="20" fillId="0" borderId="5" xfId="1" applyNumberFormat="1" applyFont="1" applyBorder="1" applyAlignment="1">
      <alignment horizontal="center" vertical="center"/>
    </xf>
    <xf numFmtId="165" fontId="6" fillId="0" borderId="0" xfId="1" applyNumberFormat="1" applyFont="1" applyAlignment="1">
      <alignment vertical="center"/>
    </xf>
    <xf numFmtId="169" fontId="6" fillId="0" borderId="0" xfId="2" applyNumberFormat="1" applyFont="1" applyFill="1" applyBorder="1" applyAlignment="1">
      <alignment horizontal="center" vertical="center"/>
    </xf>
    <xf numFmtId="174" fontId="6" fillId="2" borderId="0" xfId="2" applyNumberFormat="1" applyFont="1" applyFill="1" applyBorder="1" applyAlignment="1">
      <alignment horizontal="center" vertical="center"/>
    </xf>
    <xf numFmtId="176" fontId="20" fillId="0" borderId="0" xfId="1" applyNumberFormat="1" applyFont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169" fontId="6" fillId="2" borderId="0" xfId="1" applyNumberFormat="1" applyFont="1" applyFill="1" applyAlignment="1">
      <alignment horizontal="left" vertical="center"/>
    </xf>
    <xf numFmtId="38" fontId="6" fillId="2" borderId="0" xfId="1" applyNumberFormat="1" applyFont="1" applyFill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38" fontId="6" fillId="2" borderId="10" xfId="1" applyNumberFormat="1" applyFont="1" applyFill="1" applyBorder="1" applyAlignment="1">
      <alignment horizontal="left" vertical="center"/>
    </xf>
    <xf numFmtId="0" fontId="5" fillId="0" borderId="10" xfId="1" applyFont="1" applyBorder="1" applyAlignment="1">
      <alignment vertical="center"/>
    </xf>
    <xf numFmtId="38" fontId="6" fillId="2" borderId="10" xfId="1" applyNumberFormat="1" applyFont="1" applyFill="1" applyBorder="1" applyAlignment="1">
      <alignment horizontal="center" vertical="center"/>
    </xf>
    <xf numFmtId="0" fontId="5" fillId="0" borderId="11" xfId="1" applyFont="1" applyBorder="1" applyAlignment="1">
      <alignment vertical="center"/>
    </xf>
    <xf numFmtId="174" fontId="6" fillId="2" borderId="8" xfId="2" applyNumberFormat="1" applyFont="1" applyFill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169" fontId="6" fillId="2" borderId="10" xfId="1" applyNumberFormat="1" applyFont="1" applyFill="1" applyBorder="1" applyAlignment="1">
      <alignment horizontal="left" vertical="center"/>
    </xf>
    <xf numFmtId="174" fontId="6" fillId="2" borderId="11" xfId="2" applyNumberFormat="1" applyFont="1" applyFill="1" applyBorder="1" applyAlignment="1">
      <alignment horizontal="center" vertical="center"/>
    </xf>
    <xf numFmtId="172" fontId="6" fillId="2" borderId="0" xfId="1" applyNumberFormat="1" applyFont="1" applyFill="1" applyAlignment="1">
      <alignment vertical="center"/>
    </xf>
    <xf numFmtId="167" fontId="5" fillId="2" borderId="0" xfId="2" applyNumberFormat="1" applyFont="1" applyFill="1" applyBorder="1" applyAlignment="1">
      <alignment vertical="center"/>
    </xf>
    <xf numFmtId="0" fontId="5" fillId="2" borderId="6" xfId="1" applyFont="1" applyFill="1" applyBorder="1" applyAlignment="1">
      <alignment vertical="center"/>
    </xf>
    <xf numFmtId="0" fontId="6" fillId="0" borderId="8" xfId="1" applyFont="1" applyBorder="1" applyAlignment="1">
      <alignment horizontal="left" vertical="center"/>
    </xf>
    <xf numFmtId="171" fontId="5" fillId="2" borderId="8" xfId="1" applyNumberFormat="1" applyFont="1" applyFill="1" applyBorder="1" applyAlignment="1">
      <alignment horizontal="left" vertical="center"/>
    </xf>
    <xf numFmtId="38" fontId="5" fillId="2" borderId="8" xfId="1" applyNumberFormat="1" applyFont="1" applyFill="1" applyBorder="1" applyAlignment="1">
      <alignment horizontal="left" vertical="center"/>
    </xf>
    <xf numFmtId="0" fontId="5" fillId="2" borderId="8" xfId="1" applyFont="1" applyFill="1" applyBorder="1" applyAlignment="1">
      <alignment horizontal="center" vertical="center"/>
    </xf>
    <xf numFmtId="167" fontId="6" fillId="2" borderId="0" xfId="2" applyNumberFormat="1" applyFont="1" applyFill="1" applyBorder="1" applyAlignment="1">
      <alignment vertical="center"/>
    </xf>
    <xf numFmtId="167" fontId="6" fillId="2" borderId="5" xfId="2" applyNumberFormat="1" applyFont="1" applyFill="1" applyBorder="1" applyAlignment="1">
      <alignment vertical="center"/>
    </xf>
    <xf numFmtId="167" fontId="5" fillId="2" borderId="5" xfId="2" applyNumberFormat="1" applyFont="1" applyFill="1" applyBorder="1" applyAlignment="1">
      <alignment vertical="center"/>
    </xf>
    <xf numFmtId="167" fontId="5" fillId="3" borderId="0" xfId="2" applyNumberFormat="1" applyFont="1" applyFill="1" applyBorder="1" applyAlignment="1">
      <alignment vertical="center"/>
    </xf>
    <xf numFmtId="0" fontId="5" fillId="2" borderId="5" xfId="1" applyFont="1" applyFill="1" applyBorder="1" applyAlignment="1">
      <alignment vertical="center"/>
    </xf>
    <xf numFmtId="0" fontId="5" fillId="2" borderId="6" xfId="1" applyFont="1" applyFill="1" applyBorder="1" applyAlignment="1">
      <alignment horizontal="center" vertical="center"/>
    </xf>
    <xf numFmtId="14" fontId="5" fillId="2" borderId="8" xfId="1" applyNumberFormat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right" vertical="center"/>
    </xf>
    <xf numFmtId="0" fontId="5" fillId="0" borderId="10" xfId="1" applyFont="1" applyBorder="1" applyAlignment="1">
      <alignment horizontal="center" vertical="center"/>
    </xf>
    <xf numFmtId="0" fontId="6" fillId="0" borderId="10" xfId="1" applyFont="1" applyBorder="1" applyAlignment="1">
      <alignment vertical="center"/>
    </xf>
    <xf numFmtId="167" fontId="6" fillId="2" borderId="10" xfId="2" applyNumberFormat="1" applyFont="1" applyFill="1" applyBorder="1" applyAlignment="1">
      <alignment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/>
    </xf>
    <xf numFmtId="0" fontId="5" fillId="0" borderId="5" xfId="1" applyFont="1" applyBorder="1" applyAlignment="1">
      <alignment horizontal="left" vertical="center" wrapText="1"/>
    </xf>
    <xf numFmtId="0" fontId="5" fillId="2" borderId="5" xfId="1" applyFont="1" applyFill="1" applyBorder="1" applyAlignment="1">
      <alignment horizontal="left" vertical="center"/>
    </xf>
    <xf numFmtId="0" fontId="5" fillId="2" borderId="5" xfId="1" applyFont="1" applyFill="1" applyBorder="1" applyAlignment="1">
      <alignment horizontal="right" vertical="center"/>
    </xf>
    <xf numFmtId="38" fontId="5" fillId="2" borderId="5" xfId="1" applyNumberFormat="1" applyFont="1" applyFill="1" applyBorder="1" applyAlignment="1">
      <alignment horizontal="left" vertical="center"/>
    </xf>
    <xf numFmtId="38" fontId="6" fillId="2" borderId="5" xfId="1" applyNumberFormat="1" applyFont="1" applyFill="1" applyBorder="1" applyAlignment="1">
      <alignment horizontal="left" vertical="center"/>
    </xf>
    <xf numFmtId="167" fontId="6" fillId="2" borderId="5" xfId="7" applyNumberFormat="1" applyFont="1" applyFill="1" applyBorder="1" applyAlignment="1">
      <alignment horizontal="left" vertical="center"/>
    </xf>
    <xf numFmtId="167" fontId="6" fillId="2" borderId="0" xfId="7" applyNumberFormat="1" applyFont="1" applyFill="1" applyBorder="1" applyAlignment="1">
      <alignment horizontal="left" vertical="center"/>
    </xf>
    <xf numFmtId="167" fontId="5" fillId="2" borderId="10" xfId="7" applyNumberFormat="1" applyFont="1" applyFill="1" applyBorder="1" applyAlignment="1">
      <alignment horizontal="center" vertical="center"/>
    </xf>
    <xf numFmtId="167" fontId="6" fillId="2" borderId="17" xfId="7" applyNumberFormat="1" applyFont="1" applyFill="1" applyBorder="1" applyAlignment="1">
      <alignment horizontal="left" vertical="center"/>
    </xf>
    <xf numFmtId="49" fontId="99" fillId="3" borderId="7" xfId="1" applyNumberFormat="1" applyFont="1" applyFill="1" applyBorder="1" applyAlignment="1">
      <alignment horizontal="left" vertical="center"/>
    </xf>
    <xf numFmtId="0" fontId="100" fillId="3" borderId="7" xfId="1" applyFont="1" applyFill="1" applyBorder="1" applyAlignment="1">
      <alignment vertical="center"/>
    </xf>
    <xf numFmtId="0" fontId="6" fillId="3" borderId="7" xfId="1" applyFont="1" applyFill="1" applyBorder="1" applyAlignment="1">
      <alignment horizontal="left" vertical="center"/>
    </xf>
    <xf numFmtId="0" fontId="17" fillId="3" borderId="13" xfId="1" applyFont="1" applyFill="1" applyBorder="1" applyAlignment="1">
      <alignment horizontal="center" vertical="center"/>
    </xf>
    <xf numFmtId="165" fontId="14" fillId="3" borderId="16" xfId="1220" applyFont="1" applyFill="1" applyBorder="1" applyAlignment="1">
      <alignment horizontal="right" vertical="center"/>
    </xf>
    <xf numFmtId="166" fontId="14" fillId="3" borderId="3" xfId="1220" applyNumberFormat="1" applyFont="1" applyFill="1" applyBorder="1" applyAlignment="1">
      <alignment vertical="center"/>
    </xf>
    <xf numFmtId="0" fontId="17" fillId="3" borderId="13" xfId="1" applyFont="1" applyFill="1" applyBorder="1" applyAlignment="1">
      <alignment vertical="center"/>
    </xf>
    <xf numFmtId="0" fontId="17" fillId="3" borderId="14" xfId="1" applyFont="1" applyFill="1" applyBorder="1" applyAlignment="1">
      <alignment vertical="center"/>
    </xf>
    <xf numFmtId="0" fontId="17" fillId="3" borderId="15" xfId="1" applyFont="1" applyFill="1" applyBorder="1" applyAlignment="1">
      <alignment vertical="center"/>
    </xf>
    <xf numFmtId="165" fontId="14" fillId="2" borderId="12" xfId="1" applyNumberFormat="1" applyFont="1" applyFill="1" applyBorder="1" applyAlignment="1">
      <alignment vertical="center"/>
    </xf>
    <xf numFmtId="0" fontId="6" fillId="3" borderId="4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vertical="center"/>
    </xf>
    <xf numFmtId="0" fontId="6" fillId="3" borderId="0" xfId="1" applyFont="1" applyFill="1" applyAlignment="1">
      <alignment horizontal="center" vertical="center"/>
    </xf>
    <xf numFmtId="0" fontId="6" fillId="3" borderId="5" xfId="1" applyFont="1" applyFill="1" applyBorder="1" applyAlignment="1">
      <alignment vertical="center"/>
    </xf>
    <xf numFmtId="0" fontId="7" fillId="3" borderId="7" xfId="3" applyFont="1" applyFill="1" applyBorder="1" applyAlignment="1">
      <alignment horizontal="left" vertical="center"/>
    </xf>
    <xf numFmtId="0" fontId="9" fillId="3" borderId="0" xfId="3" applyFont="1" applyFill="1" applyAlignment="1">
      <alignment horizontal="left" vertical="center"/>
    </xf>
    <xf numFmtId="0" fontId="9" fillId="3" borderId="0" xfId="1" applyFont="1" applyFill="1" applyAlignment="1">
      <alignment vertical="center"/>
    </xf>
    <xf numFmtId="0" fontId="13" fillId="3" borderId="0" xfId="3" applyFont="1" applyFill="1" applyAlignment="1">
      <alignment horizontal="left" vertical="center"/>
    </xf>
    <xf numFmtId="0" fontId="13" fillId="3" borderId="0" xfId="1" applyFont="1" applyFill="1" applyAlignment="1">
      <alignment vertical="center"/>
    </xf>
    <xf numFmtId="0" fontId="13" fillId="3" borderId="0" xfId="1" applyFont="1" applyFill="1" applyAlignment="1">
      <alignment horizontal="left" vertical="center"/>
    </xf>
    <xf numFmtId="0" fontId="15" fillId="3" borderId="0" xfId="1" applyFont="1" applyFill="1" applyAlignment="1">
      <alignment vertical="center"/>
    </xf>
    <xf numFmtId="0" fontId="2" fillId="3" borderId="0" xfId="1" applyFill="1" applyAlignment="1">
      <alignment vertical="center"/>
    </xf>
    <xf numFmtId="0" fontId="6" fillId="3" borderId="4" xfId="1" applyFont="1" applyFill="1" applyBorder="1" applyAlignment="1">
      <alignment vertical="center"/>
    </xf>
    <xf numFmtId="0" fontId="9" fillId="3" borderId="7" xfId="1" applyFont="1" applyFill="1" applyBorder="1" applyAlignment="1">
      <alignment vertical="center"/>
    </xf>
    <xf numFmtId="172" fontId="6" fillId="3" borderId="5" xfId="1" applyNumberFormat="1" applyFont="1" applyFill="1" applyBorder="1" applyAlignment="1">
      <alignment horizontal="left" vertical="center"/>
    </xf>
    <xf numFmtId="172" fontId="6" fillId="3" borderId="7" xfId="1" applyNumberFormat="1" applyFont="1" applyFill="1" applyBorder="1" applyAlignment="1">
      <alignment horizontal="left" vertical="center"/>
    </xf>
    <xf numFmtId="172" fontId="6" fillId="3" borderId="0" xfId="1" applyNumberFormat="1" applyFont="1" applyFill="1" applyAlignment="1">
      <alignment horizontal="right" vertical="center"/>
    </xf>
    <xf numFmtId="172" fontId="6" fillId="3" borderId="0" xfId="1" applyNumberFormat="1" applyFont="1" applyFill="1" applyAlignment="1">
      <alignment horizontal="left" vertical="center"/>
    </xf>
    <xf numFmtId="0" fontId="5" fillId="3" borderId="0" xfId="4" applyFont="1" applyFill="1" applyAlignment="1" applyProtection="1">
      <alignment horizontal="center" vertical="center"/>
      <protection locked="0"/>
    </xf>
    <xf numFmtId="38" fontId="5" fillId="3" borderId="0" xfId="1" applyNumberFormat="1" applyFont="1" applyFill="1" applyAlignment="1">
      <alignment horizontal="left" vertical="center"/>
    </xf>
    <xf numFmtId="0" fontId="5" fillId="3" borderId="8" xfId="1" applyFont="1" applyFill="1" applyBorder="1" applyAlignment="1">
      <alignment horizontal="center" vertical="center"/>
    </xf>
    <xf numFmtId="49" fontId="6" fillId="3" borderId="0" xfId="5" applyNumberFormat="1" applyFont="1" applyFill="1" applyAlignment="1">
      <alignment horizontal="center" vertical="center"/>
    </xf>
    <xf numFmtId="171" fontId="5" fillId="3" borderId="0" xfId="1" applyNumberFormat="1" applyFont="1" applyFill="1" applyAlignment="1">
      <alignment horizontal="left" vertical="center"/>
    </xf>
    <xf numFmtId="38" fontId="5" fillId="3" borderId="0" xfId="1" applyNumberFormat="1" applyFont="1" applyFill="1" applyAlignment="1">
      <alignment vertical="center"/>
    </xf>
    <xf numFmtId="173" fontId="6" fillId="3" borderId="9" xfId="1" applyNumberFormat="1" applyFont="1" applyFill="1" applyBorder="1" applyAlignment="1">
      <alignment horizontal="left" vertical="center"/>
    </xf>
    <xf numFmtId="173" fontId="6" fillId="3" borderId="10" xfId="1" applyNumberFormat="1" applyFont="1" applyFill="1" applyBorder="1" applyAlignment="1">
      <alignment horizontal="left" vertical="center"/>
    </xf>
    <xf numFmtId="173" fontId="6" fillId="3" borderId="10" xfId="1" applyNumberFormat="1" applyFont="1" applyFill="1" applyBorder="1" applyAlignment="1">
      <alignment horizontal="right" vertical="center"/>
    </xf>
    <xf numFmtId="49" fontId="6" fillId="3" borderId="10" xfId="5" applyNumberFormat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vertical="center"/>
    </xf>
    <xf numFmtId="171" fontId="5" fillId="3" borderId="10" xfId="1" applyNumberFormat="1" applyFont="1" applyFill="1" applyBorder="1" applyAlignment="1">
      <alignment horizontal="left" vertical="center"/>
    </xf>
    <xf numFmtId="38" fontId="5" fillId="3" borderId="10" xfId="1" applyNumberFormat="1" applyFont="1" applyFill="1" applyBorder="1" applyAlignment="1">
      <alignment vertical="center"/>
    </xf>
    <xf numFmtId="167" fontId="5" fillId="3" borderId="10" xfId="2" applyNumberFormat="1" applyFont="1" applyFill="1" applyBorder="1" applyAlignment="1">
      <alignment vertical="center"/>
    </xf>
    <xf numFmtId="0" fontId="5" fillId="3" borderId="11" xfId="1" applyFont="1" applyFill="1" applyBorder="1" applyAlignment="1">
      <alignment horizontal="center" vertical="center"/>
    </xf>
    <xf numFmtId="0" fontId="14" fillId="3" borderId="10" xfId="1" applyFont="1" applyFill="1" applyBorder="1" applyAlignment="1">
      <alignment horizontal="center" vertical="center"/>
    </xf>
    <xf numFmtId="0" fontId="14" fillId="3" borderId="19" xfId="1" applyFont="1" applyFill="1" applyBorder="1" applyAlignment="1">
      <alignment horizontal="center" vertical="center"/>
    </xf>
    <xf numFmtId="0" fontId="6" fillId="3" borderId="19" xfId="1" applyFont="1" applyFill="1" applyBorder="1" applyAlignment="1">
      <alignment horizontal="center" vertical="center"/>
    </xf>
    <xf numFmtId="0" fontId="6" fillId="3" borderId="4" xfId="1" quotePrefix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right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vertical="center"/>
    </xf>
    <xf numFmtId="0" fontId="100" fillId="3" borderId="0" xfId="1" applyFont="1" applyFill="1" applyAlignment="1">
      <alignment horizontal="right" vertical="center"/>
    </xf>
    <xf numFmtId="0" fontId="100" fillId="3" borderId="0" xfId="1" applyFont="1" applyFill="1" applyAlignment="1">
      <alignment vertical="center"/>
    </xf>
    <xf numFmtId="0" fontId="6" fillId="3" borderId="0" xfId="1" applyFont="1" applyFill="1" applyAlignment="1">
      <alignment horizontal="right" vertical="center"/>
    </xf>
    <xf numFmtId="0" fontId="21" fillId="3" borderId="12" xfId="9" applyFont="1" applyFill="1" applyBorder="1">
      <alignment vertical="center"/>
    </xf>
    <xf numFmtId="0" fontId="6" fillId="2" borderId="0" xfId="1" applyFont="1" applyFill="1" applyAlignment="1">
      <alignment horizontal="left" vertical="center" wrapText="1"/>
    </xf>
    <xf numFmtId="0" fontId="6" fillId="2" borderId="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17" fillId="2" borderId="1" xfId="1" applyFont="1" applyFill="1" applyBorder="1" applyAlignment="1">
      <alignment vertical="center"/>
    </xf>
    <xf numFmtId="0" fontId="17" fillId="2" borderId="3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left" vertical="center"/>
    </xf>
    <xf numFmtId="0" fontId="6" fillId="2" borderId="4" xfId="1" quotePrefix="1" applyFont="1" applyFill="1" applyBorder="1" applyAlignment="1">
      <alignment horizontal="left" vertical="center"/>
    </xf>
    <xf numFmtId="0" fontId="6" fillId="2" borderId="5" xfId="1" applyFont="1" applyFill="1" applyBorder="1" applyAlignment="1">
      <alignment horizontal="left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172" fontId="6" fillId="2" borderId="51" xfId="1" applyNumberFormat="1" applyFont="1" applyFill="1" applyBorder="1" applyAlignment="1">
      <alignment horizontal="left" vertical="center"/>
    </xf>
    <xf numFmtId="172" fontId="6" fillId="2" borderId="52" xfId="1" applyNumberFormat="1" applyFont="1" applyFill="1" applyBorder="1" applyAlignment="1">
      <alignment horizontal="left" vertical="center"/>
    </xf>
    <xf numFmtId="172" fontId="6" fillId="3" borderId="53" xfId="1" applyNumberFormat="1" applyFont="1" applyFill="1" applyBorder="1" applyAlignment="1">
      <alignment horizontal="left" vertical="center"/>
    </xf>
    <xf numFmtId="172" fontId="6" fillId="3" borderId="11" xfId="1" applyNumberFormat="1" applyFont="1" applyFill="1" applyBorder="1" applyAlignment="1">
      <alignment horizontal="left" vertical="center"/>
    </xf>
    <xf numFmtId="175" fontId="14" fillId="3" borderId="54" xfId="1220" applyNumberFormat="1" applyFont="1" applyFill="1" applyBorder="1" applyAlignment="1">
      <alignment vertical="center"/>
    </xf>
    <xf numFmtId="166" fontId="14" fillId="3" borderId="55" xfId="1220" applyNumberFormat="1" applyFont="1" applyFill="1" applyBorder="1" applyAlignment="1">
      <alignment vertical="center"/>
    </xf>
    <xf numFmtId="0" fontId="21" fillId="3" borderId="50" xfId="9" applyFont="1" applyFill="1" applyBorder="1">
      <alignment vertical="center"/>
    </xf>
    <xf numFmtId="0" fontId="6" fillId="2" borderId="56" xfId="1" applyFont="1" applyFill="1" applyBorder="1" applyAlignment="1">
      <alignment vertical="center"/>
    </xf>
    <xf numFmtId="0" fontId="6" fillId="2" borderId="55" xfId="1" applyFont="1" applyFill="1" applyBorder="1" applyAlignment="1">
      <alignment vertical="center"/>
    </xf>
    <xf numFmtId="0" fontId="17" fillId="0" borderId="56" xfId="1" applyFont="1" applyBorder="1" applyAlignment="1">
      <alignment vertical="center"/>
    </xf>
    <xf numFmtId="165" fontId="14" fillId="2" borderId="57" xfId="8" applyFont="1" applyFill="1" applyBorder="1" applyAlignment="1">
      <alignment vertical="center"/>
    </xf>
    <xf numFmtId="174" fontId="14" fillId="2" borderId="54" xfId="8" applyNumberFormat="1" applyFont="1" applyFill="1" applyBorder="1" applyAlignment="1">
      <alignment vertical="center"/>
    </xf>
    <xf numFmtId="0" fontId="17" fillId="2" borderId="54" xfId="1" applyFont="1" applyFill="1" applyBorder="1" applyAlignment="1">
      <alignment vertical="center"/>
    </xf>
    <xf numFmtId="0" fontId="17" fillId="2" borderId="55" xfId="1" applyFont="1" applyFill="1" applyBorder="1" applyAlignment="1">
      <alignment vertical="center"/>
    </xf>
    <xf numFmtId="224" fontId="14" fillId="3" borderId="1" xfId="1220" applyNumberFormat="1" applyFont="1" applyFill="1" applyBorder="1" applyAlignment="1">
      <alignment vertical="center"/>
    </xf>
    <xf numFmtId="224" fontId="14" fillId="3" borderId="54" xfId="1220" applyNumberFormat="1" applyFont="1" applyFill="1" applyBorder="1" applyAlignment="1">
      <alignment vertical="center"/>
    </xf>
    <xf numFmtId="0" fontId="6" fillId="3" borderId="7" xfId="3" applyFont="1" applyFill="1" applyBorder="1" applyAlignment="1">
      <alignment horizontal="left" vertical="center"/>
    </xf>
    <xf numFmtId="0" fontId="6" fillId="3" borderId="7" xfId="3" applyFont="1" applyFill="1" applyBorder="1" applyAlignment="1">
      <alignment vertical="center"/>
    </xf>
    <xf numFmtId="223" fontId="5" fillId="2" borderId="0" xfId="1" applyNumberFormat="1" applyFont="1" applyFill="1" applyAlignment="1">
      <alignment horizontal="center" vertical="center"/>
    </xf>
    <xf numFmtId="224" fontId="14" fillId="3" borderId="63" xfId="1220" applyNumberFormat="1" applyFont="1" applyFill="1" applyBorder="1" applyAlignment="1">
      <alignment vertical="center"/>
    </xf>
    <xf numFmtId="0" fontId="21" fillId="3" borderId="62" xfId="9" applyFont="1" applyFill="1" applyBorder="1">
      <alignment vertical="center"/>
    </xf>
    <xf numFmtId="0" fontId="17" fillId="2" borderId="63" xfId="1" applyFont="1" applyFill="1" applyBorder="1" applyAlignment="1">
      <alignment vertical="center"/>
    </xf>
    <xf numFmtId="0" fontId="6" fillId="2" borderId="0" xfId="1" quotePrefix="1" applyFont="1" applyFill="1" applyAlignment="1">
      <alignment horizontal="left" vertical="center"/>
    </xf>
    <xf numFmtId="169" fontId="6" fillId="0" borderId="52" xfId="1" applyNumberFormat="1" applyFont="1" applyBorder="1" applyAlignment="1">
      <alignment horizontal="left" vertical="center"/>
    </xf>
    <xf numFmtId="169" fontId="9" fillId="3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172" fontId="6" fillId="2" borderId="0" xfId="1" applyNumberFormat="1" applyFont="1" applyFill="1" applyAlignment="1">
      <alignment horizontal="left" vertical="center"/>
    </xf>
    <xf numFmtId="165" fontId="14" fillId="3" borderId="57" xfId="1220" applyFont="1" applyFill="1" applyBorder="1" applyAlignment="1">
      <alignment horizontal="right" vertical="center"/>
    </xf>
    <xf numFmtId="165" fontId="14" fillId="2" borderId="62" xfId="1" applyNumberFormat="1" applyFont="1" applyFill="1" applyBorder="1" applyAlignment="1">
      <alignment vertical="center"/>
    </xf>
    <xf numFmtId="169" fontId="9" fillId="2" borderId="52" xfId="2" applyNumberFormat="1" applyFont="1" applyFill="1" applyBorder="1" applyAlignment="1">
      <alignment horizontal="center" vertical="center"/>
    </xf>
    <xf numFmtId="227" fontId="14" fillId="3" borderId="57" xfId="1220" applyNumberFormat="1" applyFont="1" applyFill="1" applyBorder="1" applyAlignment="1">
      <alignment horizontal="right" vertical="center"/>
    </xf>
    <xf numFmtId="0" fontId="17" fillId="0" borderId="14" xfId="1" applyFont="1" applyBorder="1" applyAlignment="1">
      <alignment vertical="center"/>
    </xf>
    <xf numFmtId="0" fontId="17" fillId="0" borderId="15" xfId="1" applyFont="1" applyBorder="1" applyAlignment="1">
      <alignment vertical="center"/>
    </xf>
    <xf numFmtId="0" fontId="17" fillId="0" borderId="13" xfId="1" applyFont="1" applyBorder="1" applyAlignment="1">
      <alignment horizontal="center" vertical="center"/>
    </xf>
    <xf numFmtId="165" fontId="14" fillId="0" borderId="16" xfId="1220" applyFont="1" applyFill="1" applyBorder="1" applyAlignment="1">
      <alignment horizontal="right" vertical="center"/>
    </xf>
    <xf numFmtId="224" fontId="14" fillId="0" borderId="1" xfId="1220" applyNumberFormat="1" applyFont="1" applyFill="1" applyBorder="1" applyAlignment="1">
      <alignment vertical="center"/>
    </xf>
    <xf numFmtId="166" fontId="14" fillId="0" borderId="3" xfId="1220" applyNumberFormat="1" applyFont="1" applyFill="1" applyBorder="1" applyAlignment="1">
      <alignment vertical="center"/>
    </xf>
    <xf numFmtId="0" fontId="21" fillId="0" borderId="12" xfId="9" applyFont="1" applyBorder="1">
      <alignment vertical="center"/>
    </xf>
    <xf numFmtId="225" fontId="14" fillId="3" borderId="55" xfId="1220" applyNumberFormat="1" applyFont="1" applyFill="1" applyBorder="1" applyAlignment="1">
      <alignment horizontal="center" vertical="center"/>
    </xf>
    <xf numFmtId="169" fontId="13" fillId="0" borderId="0" xfId="1190" applyNumberFormat="1" applyFont="1" applyAlignment="1">
      <alignment horizontal="center" vertical="center" wrapText="1"/>
    </xf>
    <xf numFmtId="167" fontId="14" fillId="3" borderId="11" xfId="2" applyNumberFormat="1" applyFont="1" applyFill="1" applyBorder="1" applyAlignment="1">
      <alignment horizontal="center" vertical="center" wrapText="1"/>
    </xf>
    <xf numFmtId="167" fontId="6" fillId="2" borderId="52" xfId="2" applyNumberFormat="1" applyFont="1" applyFill="1" applyBorder="1" applyAlignment="1">
      <alignment vertical="center"/>
    </xf>
    <xf numFmtId="167" fontId="5" fillId="2" borderId="52" xfId="2" applyNumberFormat="1" applyFont="1" applyFill="1" applyBorder="1" applyAlignment="1">
      <alignment vertical="center"/>
    </xf>
    <xf numFmtId="224" fontId="14" fillId="3" borderId="55" xfId="1220" applyNumberFormat="1" applyFont="1" applyFill="1" applyBorder="1" applyAlignment="1">
      <alignment horizontal="center" vertical="center"/>
    </xf>
    <xf numFmtId="167" fontId="6" fillId="2" borderId="52" xfId="7" applyNumberFormat="1" applyFont="1" applyFill="1" applyBorder="1" applyAlignment="1">
      <alignment horizontal="left" vertical="center"/>
    </xf>
    <xf numFmtId="49" fontId="17" fillId="3" borderId="13" xfId="1" applyNumberFormat="1" applyFont="1" applyFill="1" applyBorder="1" applyAlignment="1">
      <alignment vertical="center"/>
    </xf>
    <xf numFmtId="49" fontId="17" fillId="0" borderId="13" xfId="1" applyNumberFormat="1" applyFont="1" applyBorder="1" applyAlignment="1">
      <alignment vertical="center"/>
    </xf>
    <xf numFmtId="0" fontId="17" fillId="3" borderId="51" xfId="1" applyFont="1" applyFill="1" applyBorder="1" applyAlignment="1">
      <alignment vertical="center"/>
    </xf>
    <xf numFmtId="165" fontId="14" fillId="2" borderId="62" xfId="8" applyFont="1" applyFill="1" applyBorder="1" applyAlignment="1">
      <alignment vertical="center" wrapText="1"/>
    </xf>
    <xf numFmtId="169" fontId="14" fillId="2" borderId="63" xfId="1220" applyNumberFormat="1" applyFont="1" applyFill="1" applyBorder="1" applyAlignment="1">
      <alignment vertical="center"/>
    </xf>
    <xf numFmtId="174" fontId="14" fillId="2" borderId="63" xfId="8" applyNumberFormat="1" applyFont="1" applyFill="1" applyBorder="1" applyAlignment="1">
      <alignment vertical="center"/>
    </xf>
    <xf numFmtId="224" fontId="14" fillId="3" borderId="64" xfId="1220" applyNumberFormat="1" applyFont="1" applyFill="1" applyBorder="1" applyAlignment="1">
      <alignment vertical="center"/>
    </xf>
    <xf numFmtId="166" fontId="14" fillId="3" borderId="65" xfId="1220" applyNumberFormat="1" applyFont="1" applyFill="1" applyBorder="1" applyAlignment="1">
      <alignment vertical="center"/>
    </xf>
    <xf numFmtId="225" fontId="14" fillId="3" borderId="65" xfId="1220" applyNumberFormat="1" applyFont="1" applyFill="1" applyBorder="1" applyAlignment="1">
      <alignment horizontal="center" vertical="center"/>
    </xf>
    <xf numFmtId="0" fontId="6" fillId="2" borderId="66" xfId="1" applyFont="1" applyFill="1" applyBorder="1" applyAlignment="1">
      <alignment vertical="center"/>
    </xf>
    <xf numFmtId="0" fontId="6" fillId="2" borderId="65" xfId="1" applyFont="1" applyFill="1" applyBorder="1" applyAlignment="1">
      <alignment vertical="center"/>
    </xf>
    <xf numFmtId="0" fontId="17" fillId="0" borderId="66" xfId="1" applyFont="1" applyBorder="1" applyAlignment="1">
      <alignment vertical="center"/>
    </xf>
    <xf numFmtId="165" fontId="14" fillId="2" borderId="67" xfId="8" applyFont="1" applyFill="1" applyBorder="1" applyAlignment="1">
      <alignment vertical="center"/>
    </xf>
    <xf numFmtId="0" fontId="17" fillId="2" borderId="64" xfId="1" applyFont="1" applyFill="1" applyBorder="1" applyAlignment="1">
      <alignment vertical="center"/>
    </xf>
    <xf numFmtId="0" fontId="17" fillId="2" borderId="65" xfId="1" applyFont="1" applyFill="1" applyBorder="1" applyAlignment="1">
      <alignment vertical="center"/>
    </xf>
    <xf numFmtId="0" fontId="6" fillId="2" borderId="9" xfId="1" applyFont="1" applyFill="1" applyBorder="1" applyAlignment="1">
      <alignment horizontal="left" vertical="center"/>
    </xf>
    <xf numFmtId="0" fontId="17" fillId="3" borderId="16" xfId="1" applyFont="1" applyFill="1" applyBorder="1" applyAlignment="1">
      <alignment vertical="center"/>
    </xf>
    <xf numFmtId="0" fontId="17" fillId="3" borderId="62" xfId="1" applyFont="1" applyFill="1" applyBorder="1" applyAlignment="1">
      <alignment vertical="center"/>
    </xf>
    <xf numFmtId="0" fontId="17" fillId="3" borderId="16" xfId="1" applyFont="1" applyFill="1" applyBorder="1" applyAlignment="1">
      <alignment horizontal="left" vertical="center"/>
    </xf>
    <xf numFmtId="0" fontId="17" fillId="0" borderId="16" xfId="1" applyFont="1" applyBorder="1" applyAlignment="1">
      <alignment horizontal="left" vertical="center"/>
    </xf>
    <xf numFmtId="165" fontId="14" fillId="28" borderId="16" xfId="1220" applyFont="1" applyFill="1" applyBorder="1" applyAlignment="1">
      <alignment horizontal="right" vertical="center"/>
    </xf>
    <xf numFmtId="224" fontId="14" fillId="28" borderId="63" xfId="1220" applyNumberFormat="1" applyFont="1" applyFill="1" applyBorder="1" applyAlignment="1">
      <alignment vertical="center"/>
    </xf>
    <xf numFmtId="166" fontId="14" fillId="28" borderId="55" xfId="1220" applyNumberFormat="1" applyFont="1" applyFill="1" applyBorder="1" applyAlignment="1">
      <alignment vertical="center"/>
    </xf>
    <xf numFmtId="225" fontId="14" fillId="3" borderId="54" xfId="1220" applyNumberFormat="1" applyFont="1" applyFill="1" applyBorder="1" applyAlignment="1">
      <alignment horizontal="center" vertical="center"/>
    </xf>
    <xf numFmtId="225" fontId="14" fillId="3" borderId="55" xfId="1220" applyNumberFormat="1" applyFont="1" applyFill="1" applyBorder="1" applyAlignment="1">
      <alignment horizontal="center" vertical="center"/>
    </xf>
    <xf numFmtId="166" fontId="14" fillId="3" borderId="54" xfId="1220" applyNumberFormat="1" applyFont="1" applyFill="1" applyBorder="1" applyAlignment="1">
      <alignment horizontal="center" vertical="center"/>
    </xf>
    <xf numFmtId="225" fontId="14" fillId="28" borderId="54" xfId="1220" applyNumberFormat="1" applyFont="1" applyFill="1" applyBorder="1" applyAlignment="1">
      <alignment horizontal="center" vertical="center"/>
    </xf>
    <xf numFmtId="225" fontId="14" fillId="28" borderId="55" xfId="1220" applyNumberFormat="1" applyFont="1" applyFill="1" applyBorder="1" applyAlignment="1">
      <alignment horizontal="center" vertical="center"/>
    </xf>
    <xf numFmtId="175" fontId="14" fillId="3" borderId="1" xfId="1220" applyNumberFormat="1" applyFont="1" applyFill="1" applyBorder="1" applyAlignment="1">
      <alignment horizontal="center" vertical="center"/>
    </xf>
    <xf numFmtId="175" fontId="14" fillId="3" borderId="3" xfId="1220" applyNumberFormat="1" applyFont="1" applyFill="1" applyBorder="1" applyAlignment="1">
      <alignment horizontal="center" vertical="center"/>
    </xf>
    <xf numFmtId="224" fontId="14" fillId="3" borderId="1" xfId="1220" applyNumberFormat="1" applyFont="1" applyFill="1" applyBorder="1" applyAlignment="1">
      <alignment horizontal="center" vertical="center"/>
    </xf>
    <xf numFmtId="224" fontId="14" fillId="3" borderId="3" xfId="1220" applyNumberFormat="1" applyFont="1" applyFill="1" applyBorder="1" applyAlignment="1">
      <alignment horizontal="center" vertical="center"/>
    </xf>
    <xf numFmtId="225" fontId="14" fillId="3" borderId="1" xfId="1220" applyNumberFormat="1" applyFont="1" applyFill="1" applyBorder="1" applyAlignment="1">
      <alignment horizontal="center" vertical="center"/>
    </xf>
    <xf numFmtId="225" fontId="14" fillId="3" borderId="3" xfId="1220" applyNumberFormat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/>
    </xf>
    <xf numFmtId="0" fontId="6" fillId="3" borderId="1" xfId="1" applyFont="1" applyFill="1" applyBorder="1" applyAlignment="1">
      <alignment horizontal="left" vertical="center"/>
    </xf>
    <xf numFmtId="0" fontId="6" fillId="3" borderId="2" xfId="1" applyFont="1" applyFill="1" applyBorder="1" applyAlignment="1">
      <alignment horizontal="left" vertical="center"/>
    </xf>
    <xf numFmtId="0" fontId="6" fillId="3" borderId="3" xfId="1" applyFont="1" applyFill="1" applyBorder="1" applyAlignment="1">
      <alignment horizontal="left" vertical="center"/>
    </xf>
    <xf numFmtId="0" fontId="6" fillId="3" borderId="10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14" fillId="3" borderId="9" xfId="1" applyFont="1" applyFill="1" applyBorder="1" applyAlignment="1">
      <alignment horizontal="center" vertical="center" wrapText="1"/>
    </xf>
    <xf numFmtId="0" fontId="14" fillId="3" borderId="11" xfId="1" applyFont="1" applyFill="1" applyBorder="1" applyAlignment="1">
      <alignment horizontal="center" vertical="center" wrapText="1"/>
    </xf>
    <xf numFmtId="167" fontId="14" fillId="3" borderId="10" xfId="2" applyNumberFormat="1" applyFont="1" applyFill="1" applyBorder="1" applyAlignment="1">
      <alignment horizontal="center" vertical="center" wrapText="1"/>
    </xf>
    <xf numFmtId="167" fontId="14" fillId="3" borderId="11" xfId="2" applyNumberFormat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52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left" vertical="center"/>
    </xf>
    <xf numFmtId="0" fontId="7" fillId="3" borderId="0" xfId="1" applyFont="1" applyFill="1" applyAlignment="1">
      <alignment horizontal="left" vertical="center"/>
    </xf>
    <xf numFmtId="0" fontId="10" fillId="3" borderId="7" xfId="1" applyFont="1" applyFill="1" applyBorder="1" applyAlignment="1">
      <alignment horizontal="center" wrapText="1"/>
    </xf>
    <xf numFmtId="0" fontId="10" fillId="3" borderId="0" xfId="1" applyFont="1" applyFill="1" applyAlignment="1">
      <alignment horizontal="center" wrapText="1"/>
    </xf>
    <xf numFmtId="169" fontId="13" fillId="0" borderId="7" xfId="1190" applyNumberFormat="1" applyFont="1" applyBorder="1" applyAlignment="1">
      <alignment horizontal="center" vertical="center" wrapText="1"/>
    </xf>
    <xf numFmtId="169" fontId="13" fillId="0" borderId="0" xfId="1190" applyNumberFormat="1" applyFont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 wrapText="1"/>
    </xf>
    <xf numFmtId="0" fontId="6" fillId="3" borderId="10" xfId="1" applyFont="1" applyFill="1" applyBorder="1" applyAlignment="1">
      <alignment horizontal="center" vertical="center" wrapText="1"/>
    </xf>
    <xf numFmtId="0" fontId="104" fillId="2" borderId="9" xfId="1" applyFont="1" applyFill="1" applyBorder="1" applyAlignment="1">
      <alignment horizontal="left" vertical="center" wrapText="1"/>
    </xf>
    <xf numFmtId="0" fontId="6" fillId="2" borderId="10" xfId="1" applyFont="1" applyFill="1" applyBorder="1" applyAlignment="1">
      <alignment horizontal="left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56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169" fontId="13" fillId="0" borderId="8" xfId="1190" applyNumberFormat="1" applyFont="1" applyBorder="1" applyAlignment="1">
      <alignment horizontal="center" vertical="center" wrapText="1"/>
    </xf>
    <xf numFmtId="0" fontId="6" fillId="2" borderId="9" xfId="1" applyFont="1" applyFill="1" applyBorder="1" applyAlignment="1">
      <alignment horizontal="left" vertical="center" wrapText="1"/>
    </xf>
    <xf numFmtId="0" fontId="6" fillId="2" borderId="11" xfId="1" applyFont="1" applyFill="1" applyBorder="1" applyAlignment="1">
      <alignment horizontal="left" vertical="center" wrapText="1"/>
    </xf>
    <xf numFmtId="0" fontId="6" fillId="2" borderId="9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left" vertical="center"/>
    </xf>
    <xf numFmtId="173" fontId="6" fillId="2" borderId="7" xfId="1" applyNumberFormat="1" applyFont="1" applyFill="1" applyBorder="1" applyAlignment="1">
      <alignment horizontal="left" vertical="center"/>
    </xf>
    <xf numFmtId="173" fontId="6" fillId="2" borderId="0" xfId="1" applyNumberFormat="1" applyFont="1" applyFill="1" applyAlignment="1">
      <alignment horizontal="left" vertical="center"/>
    </xf>
    <xf numFmtId="0" fontId="6" fillId="2" borderId="4" xfId="1" quotePrefix="1" applyFont="1" applyFill="1" applyBorder="1" applyAlignment="1">
      <alignment horizontal="left" vertical="center"/>
    </xf>
    <xf numFmtId="0" fontId="6" fillId="2" borderId="5" xfId="1" applyFont="1" applyFill="1" applyBorder="1" applyAlignment="1">
      <alignment horizontal="left" vertical="center"/>
    </xf>
    <xf numFmtId="0" fontId="6" fillId="2" borderId="7" xfId="1" applyFont="1" applyFill="1" applyBorder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6" fillId="2" borderId="12" xfId="1" quotePrefix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left" vertical="center"/>
    </xf>
    <xf numFmtId="0" fontId="6" fillId="2" borderId="18" xfId="1" applyFont="1" applyFill="1" applyBorder="1" applyAlignment="1">
      <alignment horizontal="left" vertical="center"/>
    </xf>
    <xf numFmtId="0" fontId="18" fillId="0" borderId="10" xfId="1" applyFont="1" applyBorder="1" applyAlignment="1">
      <alignment horizontal="left" vertical="center" wrapText="1"/>
    </xf>
    <xf numFmtId="0" fontId="19" fillId="0" borderId="10" xfId="1" applyFont="1" applyBorder="1" applyAlignment="1">
      <alignment horizontal="left" vertical="center" wrapText="1"/>
    </xf>
    <xf numFmtId="0" fontId="6" fillId="2" borderId="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169" fontId="6" fillId="2" borderId="57" xfId="1" quotePrefix="1" applyNumberFormat="1" applyFont="1" applyFill="1" applyBorder="1" applyAlignment="1">
      <alignment horizontal="center" vertical="center" wrapText="1"/>
    </xf>
    <xf numFmtId="169" fontId="6" fillId="2" borderId="19" xfId="1" quotePrefix="1" applyNumberFormat="1" applyFont="1" applyFill="1" applyBorder="1" applyAlignment="1">
      <alignment horizontal="center" vertical="center" wrapText="1"/>
    </xf>
    <xf numFmtId="38" fontId="6" fillId="2" borderId="57" xfId="1" quotePrefix="1" applyNumberFormat="1" applyFont="1" applyFill="1" applyBorder="1" applyAlignment="1">
      <alignment horizontal="center" vertical="center" wrapText="1"/>
    </xf>
    <xf numFmtId="38" fontId="6" fillId="2" borderId="19" xfId="1" quotePrefix="1" applyNumberFormat="1" applyFont="1" applyFill="1" applyBorder="1" applyAlignment="1">
      <alignment horizontal="center" vertical="center" wrapText="1"/>
    </xf>
    <xf numFmtId="0" fontId="6" fillId="2" borderId="51" xfId="1" applyFont="1" applyFill="1" applyBorder="1" applyAlignment="1">
      <alignment horizontal="center" vertical="center"/>
    </xf>
    <xf numFmtId="0" fontId="6" fillId="2" borderId="53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vertical="center"/>
    </xf>
    <xf numFmtId="0" fontId="17" fillId="2" borderId="3" xfId="1" applyFont="1" applyFill="1" applyBorder="1" applyAlignment="1">
      <alignment vertical="center"/>
    </xf>
    <xf numFmtId="169" fontId="6" fillId="2" borderId="6" xfId="1" applyNumberFormat="1" applyFont="1" applyFill="1" applyBorder="1" applyAlignment="1">
      <alignment horizontal="center" vertical="center" wrapText="1"/>
    </xf>
    <xf numFmtId="169" fontId="6" fillId="2" borderId="8" xfId="1" applyNumberFormat="1" applyFont="1" applyFill="1" applyBorder="1" applyAlignment="1">
      <alignment horizontal="center" vertical="center" wrapText="1"/>
    </xf>
    <xf numFmtId="226" fontId="6" fillId="2" borderId="57" xfId="1" applyNumberFormat="1" applyFont="1" applyFill="1" applyBorder="1" applyAlignment="1">
      <alignment horizontal="center" vertical="center" wrapText="1"/>
    </xf>
    <xf numFmtId="226" fontId="6" fillId="2" borderId="19" xfId="1" applyNumberFormat="1" applyFont="1" applyFill="1" applyBorder="1" applyAlignment="1">
      <alignment horizontal="center" vertical="center" wrapText="1"/>
    </xf>
    <xf numFmtId="0" fontId="17" fillId="0" borderId="13" xfId="1" applyFont="1" applyBorder="1" applyAlignment="1">
      <alignment vertical="center"/>
    </xf>
    <xf numFmtId="0" fontId="17" fillId="3" borderId="64" xfId="1" applyFont="1" applyFill="1" applyBorder="1" applyAlignment="1">
      <alignment vertical="center"/>
    </xf>
    <xf numFmtId="0" fontId="6" fillId="3" borderId="1" xfId="1" applyFont="1" applyFill="1" applyBorder="1" applyAlignment="1">
      <alignment vertical="center"/>
    </xf>
    <xf numFmtId="0" fontId="6" fillId="3" borderId="2" xfId="1" applyFont="1" applyFill="1" applyBorder="1" applyAlignment="1">
      <alignment vertical="center"/>
    </xf>
    <xf numFmtId="0" fontId="6" fillId="3" borderId="10" xfId="1" applyFont="1" applyFill="1" applyBorder="1" applyAlignment="1">
      <alignment vertical="center"/>
    </xf>
    <xf numFmtId="0" fontId="6" fillId="3" borderId="64" xfId="1" applyFont="1" applyFill="1" applyBorder="1" applyAlignment="1">
      <alignment vertical="center"/>
    </xf>
    <xf numFmtId="0" fontId="6" fillId="3" borderId="50" xfId="1" applyFont="1" applyFill="1" applyBorder="1" applyAlignment="1">
      <alignment vertical="center"/>
    </xf>
  </cellXfs>
  <cellStyles count="1254">
    <cellStyle name="' '" xfId="10" xr:uid="{00000000-0005-0000-0000-000000000000}"/>
    <cellStyle name=" FY96" xfId="11" xr:uid="{00000000-0005-0000-0000-000001000000}"/>
    <cellStyle name="_x000c_ōᅺb0ōᆊbXōᆚbōᆪb¨ōᆺb섄ōᇊb섰ōᇚb셌ōᇪb셨ōᇺb손ōሊbÌōሚbôōሪbŀōሺbŨōቊbƀōቚb솴ōቪb쇌ōቺb쇬ōኊb숄ōኚb술ōኪbƜōኺbƸōዊbǜōዚbǸōዪbɄō" xfId="12" xr:uid="{00000000-0005-0000-0000-000002000000}"/>
    <cellStyle name="#,##0" xfId="13" xr:uid="{00000000-0005-0000-0000-000003000000}"/>
    <cellStyle name="#,##0 2" xfId="1225" xr:uid="{00000000-0005-0000-0000-000004000000}"/>
    <cellStyle name="&amp;A" xfId="14" xr:uid="{00000000-0005-0000-0000-000005000000}"/>
    <cellStyle name="?" xfId="15" xr:uid="{00000000-0005-0000-0000-000006000000}"/>
    <cellStyle name="?(2)" xfId="16" xr:uid="{00000000-0005-0000-0000-000007000000}"/>
    <cellStyle name="??&amp;O?&amp;H?_x0008__x000f__x0007_?_x0007__x0001__x0001_" xfId="17" xr:uid="{00000000-0005-0000-0000-000008000000}"/>
    <cellStyle name="??&amp;O?&amp;H?_x0008_??_x0007__x0001__x0001_" xfId="18" xr:uid="{00000000-0005-0000-0000-000009000000}"/>
    <cellStyle name="?_x001d_??%U²u&amp;H²9_x0008_? s_x000a__x0007__x0001__x0001_" xfId="19" xr:uid="{00000000-0005-0000-0000-00000A000000}"/>
    <cellStyle name="??_Book1" xfId="20" xr:uid="{00000000-0005-0000-0000-00000B000000}"/>
    <cellStyle name="??A? [0]_laroux_1_¸???™? " xfId="21" xr:uid="{00000000-0005-0000-0000-00000C000000}"/>
    <cellStyle name="??A?_laroux_1_¸???™? " xfId="22" xr:uid="{00000000-0005-0000-0000-00000D000000}"/>
    <cellStyle name="?”´?_?¼??¤´_¸???™? " xfId="23" xr:uid="{00000000-0005-0000-0000-00000E000000}"/>
    <cellStyle name="?曹%U?&amp;H?_x0008_?s_x000a__x0007__x0001__x0001_" xfId="24" xr:uid="{00000000-0005-0000-0000-00000F000000}"/>
    <cellStyle name="@" xfId="25" xr:uid="{00000000-0005-0000-0000-000010000000}"/>
    <cellStyle name="@ 2" xfId="1226" xr:uid="{00000000-0005-0000-0000-000011000000}"/>
    <cellStyle name="@_laroux" xfId="26" xr:uid="{00000000-0005-0000-0000-000012000000}"/>
    <cellStyle name="@_laroux_1" xfId="27" xr:uid="{00000000-0005-0000-0000-000013000000}"/>
    <cellStyle name="@_laroux_2" xfId="28" xr:uid="{00000000-0005-0000-0000-000014000000}"/>
    <cellStyle name="@_laroux_laroux" xfId="29" xr:uid="{00000000-0005-0000-0000-000015000000}"/>
    <cellStyle name="@_laroux_laroux_1" xfId="30" xr:uid="{00000000-0005-0000-0000-000016000000}"/>
    <cellStyle name="]_x0004_" xfId="31" xr:uid="{00000000-0005-0000-0000-000017000000}"/>
    <cellStyle name="_7" xfId="32" xr:uid="{00000000-0005-0000-0000-000018000000}"/>
    <cellStyle name="_DIRECT-CONT" xfId="33" xr:uid="{00000000-0005-0000-0000-000019000000}"/>
    <cellStyle name="_RESUME(2006)-1" xfId="34" xr:uid="{00000000-0005-0000-0000-00001A000000}"/>
    <cellStyle name="_견적-SMC Mechanol Project(수정)" xfId="35" xr:uid="{00000000-0005-0000-0000-00001B000000}"/>
    <cellStyle name="_견적서 - CE2 PROJECT-09.30" xfId="36" xr:uid="{00000000-0005-0000-0000-00001C000000}"/>
    <cellStyle name="_견적서-SMC Mechanol Project" xfId="37" xr:uid="{00000000-0005-0000-0000-00001D000000}"/>
    <cellStyle name="_견적서-액탄제조시설" xfId="38" xr:uid="{00000000-0005-0000-0000-00001E000000}"/>
    <cellStyle name="_견적서-한유케미칼 CO2 AREA-CHECK" xfId="39" xr:uid="{00000000-0005-0000-0000-00001F000000}"/>
    <cellStyle name="_월례매출_1_상반기_11월당월 (2)_1월" xfId="40" xr:uid="{00000000-0005-0000-0000-000020000000}"/>
    <cellStyle name="_조직유지_총괄표" xfId="41" xr:uid="{00000000-0005-0000-0000-000021000000}"/>
    <cellStyle name="W_FURNACE" xfId="42" xr:uid="{00000000-0005-0000-0000-000022000000}"/>
    <cellStyle name="0" xfId="43" xr:uid="{00000000-0005-0000-0000-000023000000}"/>
    <cellStyle name="0.0" xfId="44" xr:uid="{00000000-0005-0000-0000-000024000000}"/>
    <cellStyle name="0.0 2" xfId="1227" xr:uid="{00000000-0005-0000-0000-000025000000}"/>
    <cellStyle name="0.00" xfId="45" xr:uid="{00000000-0005-0000-0000-000026000000}"/>
    <cellStyle name="0.00 2" xfId="1228" xr:uid="{00000000-0005-0000-0000-000027000000}"/>
    <cellStyle name="00" xfId="46" xr:uid="{00000000-0005-0000-0000-000028000000}"/>
    <cellStyle name="1" xfId="47" xr:uid="{00000000-0005-0000-0000-000029000000}"/>
    <cellStyle name="¹?¤? [0]_SPECIAL-PROCESS" xfId="48" xr:uid="{00000000-0005-0000-0000-00002A000000}"/>
    <cellStyle name="¹?¤?_SPECIAL-PROCESS" xfId="49" xr:uid="{00000000-0005-0000-0000-00002B000000}"/>
    <cellStyle name="1_공구류" xfId="50" xr:uid="{00000000-0005-0000-0000-00002C000000}"/>
    <cellStyle name="1_전기관련" xfId="51" xr:uid="{00000000-0005-0000-0000-00002D000000}"/>
    <cellStyle name="100" xfId="52" xr:uid="{00000000-0005-0000-0000-00002E000000}"/>
    <cellStyle name="11" xfId="53" xr:uid="{00000000-0005-0000-0000-00002F000000}"/>
    <cellStyle name="12" xfId="54" xr:uid="{00000000-0005-0000-0000-000030000000}"/>
    <cellStyle name="120" xfId="55" xr:uid="{00000000-0005-0000-0000-000031000000}"/>
    <cellStyle name="¹eºÐA²_±aA¸" xfId="56" xr:uid="{00000000-0005-0000-0000-000032000000}"/>
    <cellStyle name="1월당월 (2)_1월" xfId="57" xr:uid="{00000000-0005-0000-0000-000033000000}"/>
    <cellStyle name="2)" xfId="58" xr:uid="{00000000-0005-0000-0000-000034000000}"/>
    <cellStyle name="20% - Accent1" xfId="59" xr:uid="{00000000-0005-0000-0000-000035000000}"/>
    <cellStyle name="20% - Accent2" xfId="60" xr:uid="{00000000-0005-0000-0000-000036000000}"/>
    <cellStyle name="20% - Accent3" xfId="61" xr:uid="{00000000-0005-0000-0000-000037000000}"/>
    <cellStyle name="20% - Accent4" xfId="62" xr:uid="{00000000-0005-0000-0000-000038000000}"/>
    <cellStyle name="20% - Accent5" xfId="63" xr:uid="{00000000-0005-0000-0000-000039000000}"/>
    <cellStyle name="20% - Accent6" xfId="64" xr:uid="{00000000-0005-0000-0000-00003A000000}"/>
    <cellStyle name="22" xfId="65" xr:uid="{00000000-0005-0000-0000-00003B000000}"/>
    <cellStyle name="222" xfId="66" xr:uid="{00000000-0005-0000-0000-00003C000000}"/>
    <cellStyle name="333" xfId="67" xr:uid="{00000000-0005-0000-0000-00003D000000}"/>
    <cellStyle name="40% - Accent1" xfId="68" xr:uid="{00000000-0005-0000-0000-00003E000000}"/>
    <cellStyle name="40% - Accent2" xfId="69" xr:uid="{00000000-0005-0000-0000-00003F000000}"/>
    <cellStyle name="40% - Accent3" xfId="70" xr:uid="{00000000-0005-0000-0000-000040000000}"/>
    <cellStyle name="40% - Accent4" xfId="71" xr:uid="{00000000-0005-0000-0000-000041000000}"/>
    <cellStyle name="40% - Accent5" xfId="72" xr:uid="{00000000-0005-0000-0000-000042000000}"/>
    <cellStyle name="40% - Accent6" xfId="73" xr:uid="{00000000-0005-0000-0000-000043000000}"/>
    <cellStyle name="44" xfId="74" xr:uid="{00000000-0005-0000-0000-000044000000}"/>
    <cellStyle name="60% - Accent1" xfId="75" xr:uid="{00000000-0005-0000-0000-000045000000}"/>
    <cellStyle name="60% - Accent2" xfId="76" xr:uid="{00000000-0005-0000-0000-000046000000}"/>
    <cellStyle name="60% - Accent3" xfId="77" xr:uid="{00000000-0005-0000-0000-000047000000}"/>
    <cellStyle name="60% - Accent4" xfId="78" xr:uid="{00000000-0005-0000-0000-000048000000}"/>
    <cellStyle name="60% - Accent5" xfId="79" xr:uid="{00000000-0005-0000-0000-000049000000}"/>
    <cellStyle name="60% - Accent6" xfId="80" xr:uid="{00000000-0005-0000-0000-00004A000000}"/>
    <cellStyle name="7_매출" xfId="81" xr:uid="{00000000-0005-0000-0000-00004B000000}"/>
    <cellStyle name="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" xfId="82" xr:uid="{00000000-0005-0000-0000-00004C000000}"/>
    <cellStyle name="A" xfId="83" xr:uid="{00000000-0005-0000-0000-00004D000000}"/>
    <cellStyle name="A¡§¡ⓒ¡E¡þ¡EO [0]_INQUIRY ¡E?¡Ii¡§u￠RAA¨I¡þA¨I¨￡ " xfId="84" xr:uid="{00000000-0005-0000-0000-00004E000000}"/>
    <cellStyle name="A¡§¡ⓒ¡E¡þ¡EO_INQUIRY ¡E?¡Ii¡§u￠RAA¨I¡þA¨I¨￡ " xfId="85" xr:uid="{00000000-0005-0000-0000-00004F000000}"/>
    <cellStyle name="A¨­￠￢￠O [0]_ ¨￢n￠￢n¨￢¡Æ ￠?u¨￢¡Æ¡¾a¨uu " xfId="86" xr:uid="{00000000-0005-0000-0000-000050000000}"/>
    <cellStyle name="A¨­￠￢￠O_ ¨￢n￠￢n¨￢¡Æ ￠?u¨￢¡Æ¡¾a¨uu " xfId="87" xr:uid="{00000000-0005-0000-0000-000051000000}"/>
    <cellStyle name="A￠R¡×￠R¨I￠RE￠Rⓒ­￠REO [0]_INQUIRY ￠RE?￠RIi￠R¡×u¡ERAA¡§I￠Rⓒ­A¡§I¡§¡I " xfId="88" xr:uid="{00000000-0005-0000-0000-000052000000}"/>
    <cellStyle name="A￠R¡×￠R¨I￠RE￠Rⓒ­￠REO_INQUIRY ￠RE?￠RIi￠R¡×u¡ERAA¡§I￠Rⓒ­A¡§I¡§¡I " xfId="89" xr:uid="{00000000-0005-0000-0000-000053000000}"/>
    <cellStyle name="Accent1" xfId="90" xr:uid="{00000000-0005-0000-0000-000054000000}"/>
    <cellStyle name="Accent2" xfId="91" xr:uid="{00000000-0005-0000-0000-000055000000}"/>
    <cellStyle name="Accent3" xfId="92" xr:uid="{00000000-0005-0000-0000-000056000000}"/>
    <cellStyle name="Accent4" xfId="93" xr:uid="{00000000-0005-0000-0000-000057000000}"/>
    <cellStyle name="Accent5" xfId="94" xr:uid="{00000000-0005-0000-0000-000058000000}"/>
    <cellStyle name="Accent6" xfId="95" xr:uid="{00000000-0005-0000-0000-000059000000}"/>
    <cellStyle name="AeE­ [0]_´e¿UCN¹R°ø¹R " xfId="96" xr:uid="{00000000-0005-0000-0000-00005A000000}"/>
    <cellStyle name="ÅëÈ­ [0]_¿ï»êÈ­·Â ±â±¸Á¶Á÷Ç¥" xfId="97" xr:uid="{00000000-0005-0000-0000-00005B000000}"/>
    <cellStyle name="AeE­ [0]_¿i≫eE­·A ±a±¸A¶A÷C￥" xfId="98" xr:uid="{00000000-0005-0000-0000-00005C000000}"/>
    <cellStyle name="ÅëÈ­ [0]_¿ùº°½ÇÇà" xfId="99" xr:uid="{00000000-0005-0000-0000-00005D000000}"/>
    <cellStyle name="AeE­ [0]_±aA¸" xfId="100" xr:uid="{00000000-0005-0000-0000-00005E000000}"/>
    <cellStyle name="ÅëÈ­ [0]_INQUIRY ¿µ¾÷ÃßÁø " xfId="101" xr:uid="{00000000-0005-0000-0000-00005F000000}"/>
    <cellStyle name="AeE­ [0]_INQUIRY ¿μ¾÷AßAø " xfId="102" xr:uid="{00000000-0005-0000-0000-000060000000}"/>
    <cellStyle name="AeE­_´e¿UCN¹R°ø¹R " xfId="103" xr:uid="{00000000-0005-0000-0000-000061000000}"/>
    <cellStyle name="ÅëÈ­_¿ï»êÈ­·Â ±â±¸Á¶Á÷Ç¥" xfId="104" xr:uid="{00000000-0005-0000-0000-000062000000}"/>
    <cellStyle name="AeE­_¿i≫eE­·A ±a±¸A¶A÷C￥" xfId="105" xr:uid="{00000000-0005-0000-0000-000063000000}"/>
    <cellStyle name="ÅëÈ­_¿ùº°½ÇÇà" xfId="106" xr:uid="{00000000-0005-0000-0000-000064000000}"/>
    <cellStyle name="AeE­_±aA¸" xfId="107" xr:uid="{00000000-0005-0000-0000-000065000000}"/>
    <cellStyle name="ÅëÈ­_INQUIRY ¿µ¾÷ÃßÁø " xfId="108" xr:uid="{00000000-0005-0000-0000-000066000000}"/>
    <cellStyle name="AeE­_INQUIRY ¿μ¾÷AßAø " xfId="109" xr:uid="{00000000-0005-0000-0000-000067000000}"/>
    <cellStyle name="AeE¡ⓒ [0]_ ¨￢n￠￢n¨￢¡Æ ￠?u¨￢¡Æ¡¾a¨uu " xfId="110" xr:uid="{00000000-0005-0000-0000-000068000000}"/>
    <cellStyle name="AeE¡ⓒ_ ¨￢n￠￢n¨￢¡Æ ￠?u¨￢¡Æ¡¾a¨uu " xfId="111" xr:uid="{00000000-0005-0000-0000-000069000000}"/>
    <cellStyle name="AeE¡ER¡§I [0]_INQUIRY ￠RE?￠RIi￠R¡×u¡ERAA¡§I￠Rⓒ­A¡§I¡§¡I " xfId="112" xr:uid="{00000000-0005-0000-0000-00006A000000}"/>
    <cellStyle name="AeE¡ER¡§I_INQUIRY ￠RE?￠RIi￠R¡×u¡ERAA¡§I￠Rⓒ­A¡§I¡§¡I " xfId="113" xr:uid="{00000000-0005-0000-0000-00006B000000}"/>
    <cellStyle name="AeE￠R¨I [0]_INQUIRY ¡E?¡Ii¡§u￠RAA¨I¡þA¨I¨￡ " xfId="114" xr:uid="{00000000-0005-0000-0000-00006C000000}"/>
    <cellStyle name="AeE￠R¨I_INQUIRY ¡E?¡Ii¡§u￠RAA¨I¡þA¨I¨￡ " xfId="115" xr:uid="{00000000-0005-0000-0000-00006D000000}"/>
    <cellStyle name="area-t" xfId="116" xr:uid="{00000000-0005-0000-0000-00006E000000}"/>
    <cellStyle name="args.style" xfId="117" xr:uid="{00000000-0005-0000-0000-00006F000000}"/>
    <cellStyle name="AÞ¸¶ [0]_´e¿UCN¹R°ø¹R " xfId="118" xr:uid="{00000000-0005-0000-0000-000070000000}"/>
    <cellStyle name="ÄÞ¸¶ [0]_¿ï»êÈ­·Â ±â±¸Á¶Á÷Ç¥" xfId="119" xr:uid="{00000000-0005-0000-0000-000071000000}"/>
    <cellStyle name="AÞ¸¶ [0]_¿i≫eE­·A ±a±¸A¶A÷C￥" xfId="120" xr:uid="{00000000-0005-0000-0000-000072000000}"/>
    <cellStyle name="ÄÞ¸¶ [0]_¿ùº°½ÇÇà" xfId="121" xr:uid="{00000000-0005-0000-0000-000073000000}"/>
    <cellStyle name="AÞ¸¶ [0]_±aA¸" xfId="122" xr:uid="{00000000-0005-0000-0000-000074000000}"/>
    <cellStyle name="ÄÞ¸¶ [0]_INQUIRY ¿µ¾÷ÃßÁø " xfId="123" xr:uid="{00000000-0005-0000-0000-000075000000}"/>
    <cellStyle name="AÞ¸¶ [0]_INQUIRY ¿μ¾÷AßAø " xfId="124" xr:uid="{00000000-0005-0000-0000-000076000000}"/>
    <cellStyle name="AÞ¸¶_´e¿UCN¹R°ø¹R " xfId="125" xr:uid="{00000000-0005-0000-0000-000077000000}"/>
    <cellStyle name="ÄÞ¸¶_¿ï»êÈ­·Â ±â±¸Á¶Á÷Ç¥" xfId="126" xr:uid="{00000000-0005-0000-0000-000078000000}"/>
    <cellStyle name="AÞ¸¶_¿i≫eE­·A ±a±¸A¶A÷C￥" xfId="127" xr:uid="{00000000-0005-0000-0000-000079000000}"/>
    <cellStyle name="ÄÞ¸¶_¿ùº°½ÇÇà" xfId="128" xr:uid="{00000000-0005-0000-0000-00007A000000}"/>
    <cellStyle name="AÞ¸¶_±aA¸" xfId="129" xr:uid="{00000000-0005-0000-0000-00007B000000}"/>
    <cellStyle name="ÄÞ¸¶_INQUIRY ¿µ¾÷ÃßÁø " xfId="130" xr:uid="{00000000-0005-0000-0000-00007C000000}"/>
    <cellStyle name="AÞ¸¶_INQUIRY ¿μ¾÷AßAø " xfId="131" xr:uid="{00000000-0005-0000-0000-00007D000000}"/>
    <cellStyle name="Availability" xfId="132" xr:uid="{00000000-0005-0000-0000-00007E000000}"/>
    <cellStyle name="_x0001_b" xfId="133" xr:uid="{00000000-0005-0000-0000-00007F000000}"/>
    <cellStyle name="Bad" xfId="134" xr:uid="{00000000-0005-0000-0000-000080000000}"/>
    <cellStyle name="blank" xfId="135" xr:uid="{00000000-0005-0000-0000-000081000000}"/>
    <cellStyle name="blank - Style1" xfId="136" xr:uid="{00000000-0005-0000-0000-000082000000}"/>
    <cellStyle name="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ōᇊb섰ōᇚb셌ōᇪb셨ōᇺb손ōሊbÌōሚbôōሪbŀōሺbŨōቊbƀōቚb솴ōቪb쇌" xfId="137" xr:uid="{00000000-0005-0000-0000-000083000000}"/>
    <cellStyle name="C" xfId="138" xr:uid="{00000000-0005-0000-0000-000084000000}"/>
    <cellStyle name="C¡ERIA￠R¡×¡§¡I_¡ERic￠R¡×u¡ERA￠R¡×￠Rⓒ­I￠R¡×￠Rⓒ­¡ER¡§￠R AN¡ER¡§￠Re " xfId="139" xr:uid="{00000000-0005-0000-0000-000085000000}"/>
    <cellStyle name="C¡IA¨ª_ 1-3 " xfId="140" xr:uid="{00000000-0005-0000-0000-000086000000}"/>
    <cellStyle name="C￠RIA¡§¨￡_¡§￠R?￠R¨ua3_p.mix " xfId="141" xr:uid="{00000000-0005-0000-0000-000087000000}"/>
    <cellStyle name="C￥AØ_  FAB AIA¤  " xfId="142" xr:uid="{00000000-0005-0000-0000-000088000000}"/>
    <cellStyle name="Ç¥ÁØ_¸ÅÀÌ¼ö" xfId="143" xr:uid="{00000000-0005-0000-0000-000089000000}"/>
    <cellStyle name="C￥AØ_¿u°￡¿a¾aº¸°i" xfId="144" xr:uid="{00000000-0005-0000-0000-00008A000000}"/>
    <cellStyle name="Ç¥ÁØ_»ç¾÷ºÎº° ÃÑ°è " xfId="145" xr:uid="{00000000-0005-0000-0000-00008B000000}"/>
    <cellStyle name="C￥AØ_≫c¾÷ºIº° AN°e " xfId="146" xr:uid="{00000000-0005-0000-0000-00008C000000}"/>
    <cellStyle name="Ç¥ÁØ_0N-HANDLING " xfId="147" xr:uid="{00000000-0005-0000-0000-00008D000000}"/>
    <cellStyle name="C￥AØ_¼±AoAc°i_1_³≫ºI°eE¹´e AßA¤A÷AI " xfId="148" xr:uid="{00000000-0005-0000-0000-00008E000000}"/>
    <cellStyle name="Ç¥ÁØ_5-1±¤°í " xfId="149" xr:uid="{00000000-0005-0000-0000-00008F000000}"/>
    <cellStyle name="C￥AØ_5-1±¤°i _6RCB1 " xfId="150" xr:uid="{00000000-0005-0000-0000-000090000000}"/>
    <cellStyle name="Ç¥ÁØ_Áý°èÇ¥(2¿ù) " xfId="151" xr:uid="{00000000-0005-0000-0000-000091000000}"/>
    <cellStyle name="C￥AØ_CoAo¹yAI °A¾×¿ⓒ½A " xfId="152" xr:uid="{00000000-0005-0000-0000-000092000000}"/>
    <cellStyle name="Ç¥ÁØ_Sheet1_¿µ¾÷ÇöÈ² " xfId="153" xr:uid="{00000000-0005-0000-0000-000093000000}"/>
    <cellStyle name="Calc Currency (0)" xfId="154" xr:uid="{00000000-0005-0000-0000-000094000000}"/>
    <cellStyle name="Calc Currency (2)" xfId="155" xr:uid="{00000000-0005-0000-0000-000095000000}"/>
    <cellStyle name="Calc Percent (0)" xfId="156" xr:uid="{00000000-0005-0000-0000-000096000000}"/>
    <cellStyle name="Calc Percent (1)" xfId="157" xr:uid="{00000000-0005-0000-0000-000097000000}"/>
    <cellStyle name="Calc Percent (2)" xfId="158" xr:uid="{00000000-0005-0000-0000-000098000000}"/>
    <cellStyle name="Calc Units (0)" xfId="159" xr:uid="{00000000-0005-0000-0000-000099000000}"/>
    <cellStyle name="Calc Units (1)" xfId="160" xr:uid="{00000000-0005-0000-0000-00009A000000}"/>
    <cellStyle name="Calc Units (2)" xfId="161" xr:uid="{00000000-0005-0000-0000-00009B000000}"/>
    <cellStyle name="Calculation" xfId="162" xr:uid="{00000000-0005-0000-0000-00009C000000}"/>
    <cellStyle name="Calculation 2" xfId="1229" xr:uid="{00000000-0005-0000-0000-00009D000000}"/>
    <cellStyle name="category" xfId="163" xr:uid="{00000000-0005-0000-0000-00009E000000}"/>
    <cellStyle name="Check Cell" xfId="164" xr:uid="{00000000-0005-0000-0000-00009F000000}"/>
    <cellStyle name="Cmma_을지 (2)_갑지 (2)_집계표 (2)_집계표 (3)_견적서 (2)" xfId="165" xr:uid="{00000000-0005-0000-0000-0000A0000000}"/>
    <cellStyle name="Comma  - Style2" xfId="166" xr:uid="{00000000-0005-0000-0000-0000A1000000}"/>
    <cellStyle name="Comma  - Style3" xfId="167" xr:uid="{00000000-0005-0000-0000-0000A2000000}"/>
    <cellStyle name="Comma  - Style4" xfId="168" xr:uid="{00000000-0005-0000-0000-0000A3000000}"/>
    <cellStyle name="Comma  - Style5" xfId="169" xr:uid="{00000000-0005-0000-0000-0000A4000000}"/>
    <cellStyle name="Comma  - Style6" xfId="170" xr:uid="{00000000-0005-0000-0000-0000A5000000}"/>
    <cellStyle name="Comma  - Style7" xfId="171" xr:uid="{00000000-0005-0000-0000-0000A6000000}"/>
    <cellStyle name="Comma  - Style8" xfId="172" xr:uid="{00000000-0005-0000-0000-0000A7000000}"/>
    <cellStyle name="Comma [0]" xfId="1220" xr:uid="{00000000-0005-0000-0000-0000A8000000}"/>
    <cellStyle name="Comma [0] 2" xfId="1230" xr:uid="{00000000-0005-0000-0000-0000A9000000}"/>
    <cellStyle name="Comma [0] 3" xfId="1251" xr:uid="{00000000-0005-0000-0000-0000AA000000}"/>
    <cellStyle name="Comma [0] 3 3" xfId="173" xr:uid="{00000000-0005-0000-0000-0000AB000000}"/>
    <cellStyle name="Comma [0]_ SG&amp;A Bridge " xfId="174" xr:uid="{00000000-0005-0000-0000-0000AC000000}"/>
    <cellStyle name="Comma [00]" xfId="175" xr:uid="{00000000-0005-0000-0000-0000AD000000}"/>
    <cellStyle name="comma zerodec" xfId="176" xr:uid="{00000000-0005-0000-0000-0000AE000000}"/>
    <cellStyle name="Comma0" xfId="177" xr:uid="{00000000-0005-0000-0000-0000AF000000}"/>
    <cellStyle name="Copied" xfId="178" xr:uid="{00000000-0005-0000-0000-0000B0000000}"/>
    <cellStyle name="Currency [0]" xfId="179" xr:uid="{00000000-0005-0000-0000-0000B1000000}"/>
    <cellStyle name="Currency0" xfId="180" xr:uid="{00000000-0005-0000-0000-0000B2000000}"/>
    <cellStyle name="Currency1" xfId="181" xr:uid="{00000000-0005-0000-0000-0000B3000000}"/>
    <cellStyle name="Custom - 유형8" xfId="182" xr:uid="{00000000-0005-0000-0000-0000B4000000}"/>
    <cellStyle name="Data   - 유형2" xfId="183" xr:uid="{00000000-0005-0000-0000-0000B5000000}"/>
    <cellStyle name="Data   - 유형2 2" xfId="1231" xr:uid="{00000000-0005-0000-0000-0000B6000000}"/>
    <cellStyle name="Date" xfId="184" xr:uid="{00000000-0005-0000-0000-0000B7000000}"/>
    <cellStyle name="Dezimal [0]_spare_TPI_MCC" xfId="185" xr:uid="{00000000-0005-0000-0000-0000B8000000}"/>
    <cellStyle name="Dezimal_Sheet1" xfId="186" xr:uid="{00000000-0005-0000-0000-0000B9000000}"/>
    <cellStyle name="Dollar (zero dec)" xfId="187" xr:uid="{00000000-0005-0000-0000-0000BA000000}"/>
    <cellStyle name="Entered" xfId="188" xr:uid="{00000000-0005-0000-0000-0000BB000000}"/>
    <cellStyle name="Euro" xfId="189" xr:uid="{00000000-0005-0000-0000-0000BC000000}"/>
    <cellStyle name="Explanatory Text" xfId="190" xr:uid="{00000000-0005-0000-0000-0000BD000000}"/>
    <cellStyle name="F2" xfId="191" xr:uid="{00000000-0005-0000-0000-0000BE000000}"/>
    <cellStyle name="F3" xfId="192" xr:uid="{00000000-0005-0000-0000-0000BF000000}"/>
    <cellStyle name="F4" xfId="193" xr:uid="{00000000-0005-0000-0000-0000C0000000}"/>
    <cellStyle name="F5" xfId="194" xr:uid="{00000000-0005-0000-0000-0000C1000000}"/>
    <cellStyle name="F6" xfId="195" xr:uid="{00000000-0005-0000-0000-0000C2000000}"/>
    <cellStyle name="F7" xfId="196" xr:uid="{00000000-0005-0000-0000-0000C3000000}"/>
    <cellStyle name="F8" xfId="197" xr:uid="{00000000-0005-0000-0000-0000C4000000}"/>
    <cellStyle name="Fixed" xfId="198" xr:uid="{00000000-0005-0000-0000-0000C5000000}"/>
    <cellStyle name="Good" xfId="199" xr:uid="{00000000-0005-0000-0000-0000C6000000}"/>
    <cellStyle name="Grey" xfId="200" xr:uid="{00000000-0005-0000-0000-0000C7000000}"/>
    <cellStyle name="haha" xfId="201" xr:uid="{00000000-0005-0000-0000-0000C8000000}"/>
    <cellStyle name="HEADER" xfId="202" xr:uid="{00000000-0005-0000-0000-0000C9000000}"/>
    <cellStyle name="Header1" xfId="203" xr:uid="{00000000-0005-0000-0000-0000CA000000}"/>
    <cellStyle name="Header2" xfId="204" xr:uid="{00000000-0005-0000-0000-0000CB000000}"/>
    <cellStyle name="Header2 2" xfId="1232" xr:uid="{00000000-0005-0000-0000-0000CC000000}"/>
    <cellStyle name="Heading 1" xfId="205" xr:uid="{00000000-0005-0000-0000-0000CD000000}"/>
    <cellStyle name="Heading 2" xfId="206" xr:uid="{00000000-0005-0000-0000-0000CE000000}"/>
    <cellStyle name="Heading 3" xfId="207" xr:uid="{00000000-0005-0000-0000-0000CF000000}"/>
    <cellStyle name="Heading 4" xfId="208" xr:uid="{00000000-0005-0000-0000-0000D0000000}"/>
    <cellStyle name="HEADING1" xfId="209" xr:uid="{00000000-0005-0000-0000-0000D1000000}"/>
    <cellStyle name="HEADING2" xfId="210" xr:uid="{00000000-0005-0000-0000-0000D2000000}"/>
    <cellStyle name="Helv8_PFD4.XLS" xfId="211" xr:uid="{00000000-0005-0000-0000-0000D3000000}"/>
    <cellStyle name="Input" xfId="212" xr:uid="{00000000-0005-0000-0000-0000D4000000}"/>
    <cellStyle name="Input [yellow]" xfId="213" xr:uid="{00000000-0005-0000-0000-0000D5000000}"/>
    <cellStyle name="Input [yellow] 2" xfId="1234" xr:uid="{00000000-0005-0000-0000-0000D6000000}"/>
    <cellStyle name="Input 2" xfId="1233" xr:uid="{00000000-0005-0000-0000-0000D7000000}"/>
    <cellStyle name="Input_INV-을지(#3)" xfId="214" xr:uid="{00000000-0005-0000-0000-0000D8000000}"/>
    <cellStyle name="L`" xfId="215" xr:uid="{00000000-0005-0000-0000-0000D9000000}"/>
    <cellStyle name="Labels - 유형3" xfId="216" xr:uid="{00000000-0005-0000-0000-0000DA000000}"/>
    <cellStyle name="Labels - 유형3 2" xfId="1235" xr:uid="{00000000-0005-0000-0000-0000DB000000}"/>
    <cellStyle name="left" xfId="217" xr:uid="{00000000-0005-0000-0000-0000DC000000}"/>
    <cellStyle name="Linked Cell" xfId="218" xr:uid="{00000000-0005-0000-0000-0000DD000000}"/>
    <cellStyle name="Millares [0]_elec" xfId="219" xr:uid="{00000000-0005-0000-0000-0000DE000000}"/>
    <cellStyle name="Millares_elec" xfId="220" xr:uid="{00000000-0005-0000-0000-0000DF000000}"/>
    <cellStyle name="Milliers [0]_laroux" xfId="221" xr:uid="{00000000-0005-0000-0000-0000E0000000}"/>
    <cellStyle name="Milliers_laroux" xfId="222" xr:uid="{00000000-0005-0000-0000-0000E1000000}"/>
    <cellStyle name="Model" xfId="223" xr:uid="{00000000-0005-0000-0000-0000E2000000}"/>
    <cellStyle name="Moeda [0]_PLDT" xfId="224" xr:uid="{00000000-0005-0000-0000-0000E3000000}"/>
    <cellStyle name="Moeda_PLDT" xfId="225" xr:uid="{00000000-0005-0000-0000-0000E4000000}"/>
    <cellStyle name="Monétaire [0]_laroux" xfId="226" xr:uid="{00000000-0005-0000-0000-0000E5000000}"/>
    <cellStyle name="Monétaire_laroux" xfId="227" xr:uid="{00000000-0005-0000-0000-0000E6000000}"/>
    <cellStyle name="Neutral" xfId="228" xr:uid="{00000000-0005-0000-0000-0000E7000000}"/>
    <cellStyle name="no dec" xfId="229" xr:uid="{00000000-0005-0000-0000-0000E8000000}"/>
    <cellStyle name="No-definido" xfId="230" xr:uid="{00000000-0005-0000-0000-0000E9000000}"/>
    <cellStyle name="Normal" xfId="0" builtinId="0"/>
    <cellStyle name="Normal - Style1" xfId="231" xr:uid="{00000000-0005-0000-0000-0000EA000000}"/>
    <cellStyle name="Normal - Style1 2" xfId="232" xr:uid="{00000000-0005-0000-0000-0000EB000000}"/>
    <cellStyle name="Normal - 유형1" xfId="233" xr:uid="{00000000-0005-0000-0000-0000EC000000}"/>
    <cellStyle name="Normal 2" xfId="1249" xr:uid="{00000000-0005-0000-0000-0000ED000000}"/>
    <cellStyle name="Note" xfId="234" xr:uid="{00000000-0005-0000-0000-0000EE000000}"/>
    <cellStyle name="Note 2" xfId="1236" xr:uid="{00000000-0005-0000-0000-0000EF000000}"/>
    <cellStyle name="oft Excel]_x000d__x000a_Comment=The open=/f lines load custom functions into the Paste Function list._x000d__x000a_Maximized=3_x000d__x000a_AutoFormat=" xfId="235" xr:uid="{00000000-0005-0000-0000-0000F0000000}"/>
    <cellStyle name="Output" xfId="236" xr:uid="{00000000-0005-0000-0000-0000F1000000}"/>
    <cellStyle name="Output 2" xfId="1237" xr:uid="{00000000-0005-0000-0000-0000F2000000}"/>
    <cellStyle name="p time]_x000d__x000a_time-zone-subsection=japan_x000d__x000a_save-on-exit=yes_x000d__x000a_show-log=no_x000d__x000a_updates=single_x000d__x000a_authorization=m" xfId="237" xr:uid="{00000000-0005-0000-0000-0000F3000000}"/>
    <cellStyle name="PE_1월" xfId="238" xr:uid="{00000000-0005-0000-0000-0000F4000000}"/>
    <cellStyle name="Percent [2]" xfId="239" xr:uid="{00000000-0005-0000-0000-0000F5000000}"/>
    <cellStyle name="Reset  - 유형7" xfId="240" xr:uid="{00000000-0005-0000-0000-0000F6000000}"/>
    <cellStyle name="RevList" xfId="241" xr:uid="{00000000-0005-0000-0000-0000F7000000}"/>
    <cellStyle name="Separador de milhares [0]_PLDT" xfId="242" xr:uid="{00000000-0005-0000-0000-0000F8000000}"/>
    <cellStyle name="Separador de milhares_PLDT" xfId="243" xr:uid="{00000000-0005-0000-0000-0000F9000000}"/>
    <cellStyle name="setup" xfId="244" xr:uid="{00000000-0005-0000-0000-0000FA000000}"/>
    <cellStyle name="Standard_10286-01" xfId="245" xr:uid="{00000000-0005-0000-0000-0000FB000000}"/>
    <cellStyle name="STD" xfId="246" xr:uid="{00000000-0005-0000-0000-0000FC000000}"/>
    <cellStyle name="STD1" xfId="247" xr:uid="{00000000-0005-0000-0000-0000FD000000}"/>
    <cellStyle name="STFRM" xfId="248" xr:uid="{00000000-0005-0000-0000-0000FE000000}"/>
    <cellStyle name="subhead" xfId="249" xr:uid="{00000000-0005-0000-0000-0000FF000000}"/>
    <cellStyle name="Subtotal" xfId="250" xr:uid="{00000000-0005-0000-0000-000000010000}"/>
    <cellStyle name="t" xfId="251" xr:uid="{00000000-0005-0000-0000-000001010000}"/>
    <cellStyle name="t_Annex C-2 BOQ for Piping work" xfId="252" xr:uid="{00000000-0005-0000-0000-000002010000}"/>
    <cellStyle name="t_Annex C-2 BOQ for Piping work_오만기계배관공사 공도구 소모품 견적현황" xfId="253" xr:uid="{00000000-0005-0000-0000-000003010000}"/>
    <cellStyle name="t_Annex C-2 BOQ for Piping work_오만기계배관공사 공도구 소모품 견적현황-070412 - 2차" xfId="254" xr:uid="{00000000-0005-0000-0000-000004010000}"/>
    <cellStyle name="t_Annex C-BOQ(Piping-General)" xfId="255" xr:uid="{00000000-0005-0000-0000-000005010000}"/>
    <cellStyle name="t_Annex C-BOQ(Piping-General)_Annex C-2 BOQ for Piping work" xfId="256" xr:uid="{00000000-0005-0000-0000-000006010000}"/>
    <cellStyle name="t_Annex C-BOQ(Piping-General)_Annex C-2 BOQ for Piping work_오만기계배관공사 공도구 소모품 견적현황" xfId="257" xr:uid="{00000000-0005-0000-0000-000007010000}"/>
    <cellStyle name="t_Annex C-BOQ(Piping-General)_Annex C-2 BOQ for Piping work_오만기계배관공사 공도구 소모품 견적현황-070412 - 2차" xfId="258" xr:uid="{00000000-0005-0000-0000-000008010000}"/>
    <cellStyle name="t_Annex C-BOQ(Piping-General)_Annex C-BOQ(Piping-General)" xfId="259" xr:uid="{00000000-0005-0000-0000-000009010000}"/>
    <cellStyle name="t_Annex C-BOQ(Piping-General)_Annex C-BOQ(Piping-General)_Annex C-2 BOQ for Piping work" xfId="260" xr:uid="{00000000-0005-0000-0000-00000A010000}"/>
    <cellStyle name="t_Annex C-BOQ(Piping-General)_Annex C-BOQ(Piping-General)_Annex C-2 BOQ for Piping work_오만기계배관공사 공도구 소모품 견적현황" xfId="261" xr:uid="{00000000-0005-0000-0000-00000B010000}"/>
    <cellStyle name="t_Annex C-BOQ(Piping-General)_Annex C-BOQ(Piping-General)_Annex C-2 BOQ for Piping work_오만기계배관공사 공도구 소모품 견적현황-070412 - 2차" xfId="262" xr:uid="{00000000-0005-0000-0000-00000C010000}"/>
    <cellStyle name="t_Annex C-BOQ(Piping-General)_Annex C-BOQ(Piping-General)_Annex C-BOQ(Piping-General)" xfId="263" xr:uid="{00000000-0005-0000-0000-00000D010000}"/>
    <cellStyle name="t_Annex C-BOQ(Piping-General)_Annex C-BOQ(Piping-General)_Annex C-BOQ(Piping-General)_Annex C-2 BOQ for Piping work" xfId="264" xr:uid="{00000000-0005-0000-0000-00000E010000}"/>
    <cellStyle name="t_Annex C-BOQ(Piping-General)_Annex C-BOQ(Piping-General)_Annex C-BOQ(Piping-General)_Annex C-2 BOQ for Piping work_오만기계배관공사 공도구 소모품 견적현황" xfId="265" xr:uid="{00000000-0005-0000-0000-00000F010000}"/>
    <cellStyle name="t_Annex C-BOQ(Piping-General)_Annex C-BOQ(Piping-General)_Annex C-BOQ(Piping-General)_Annex C-2 BOQ for Piping work_오만기계배관공사 공도구 소모품 견적현황-070412 - 2차" xfId="266" xr:uid="{00000000-0005-0000-0000-000010010000}"/>
    <cellStyle name="t_Annex C-BOQ(Piping-General)_Annex C-BOQ(Piping-General)_Annex C-BOQ(Piping-General)_DIRECT COST-GENECON 1-B" xfId="267" xr:uid="{00000000-0005-0000-0000-000011010000}"/>
    <cellStyle name="t_Annex C-BOQ(Piping-General)_Annex C-BOQ(Piping-General)_Annex C-BOQ(Piping-General)_DIRECT COST-GENECON 1-B_오만기계배관공사 공도구 소모품 견적현황" xfId="268" xr:uid="{00000000-0005-0000-0000-000012010000}"/>
    <cellStyle name="t_Annex C-BOQ(Piping-General)_Annex C-BOQ(Piping-General)_Annex C-BOQ(Piping-General)_DIRECT COST-GENECON 1-B_오만기계배관공사 공도구 소모품 견적현황-070412 - 2차" xfId="269" xr:uid="{00000000-0005-0000-0000-000013010000}"/>
    <cellStyle name="t_Annex C-BOQ(Piping-General)_Annex C-BOQ(Piping-General)_Annex C-BOQ(Piping-General)_SCHDULE 양식" xfId="270" xr:uid="{00000000-0005-0000-0000-000014010000}"/>
    <cellStyle name="t_Annex C-BOQ(Piping-General)_Annex C-BOQ(Piping-General)_Annex C-BOQ(Piping-General)_SCHDULE 양식_Annex C-2 BOQ for Piping work" xfId="271" xr:uid="{00000000-0005-0000-0000-000015010000}"/>
    <cellStyle name="t_Annex C-BOQ(Piping-General)_Annex C-BOQ(Piping-General)_Annex C-BOQ(Piping-General)_SCHDULE 양식_Annex C-2 BOQ for Piping work_오만기계배관공사 공도구 소모품 견적현황" xfId="272" xr:uid="{00000000-0005-0000-0000-000016010000}"/>
    <cellStyle name="t_Annex C-BOQ(Piping-General)_Annex C-BOQ(Piping-General)_Annex C-BOQ(Piping-General)_SCHDULE 양식_Annex C-2 BOQ for Piping work_오만기계배관공사 공도구 소모품 견적현황-070412 - 2차" xfId="273" xr:uid="{00000000-0005-0000-0000-000017010000}"/>
    <cellStyle name="t_Annex C-BOQ(Piping-General)_Annex C-BOQ(Piping-General)_Annex C-BOQ(Piping-General)_SCHDULE 양식_DIRECT COST-GENECON 1-B" xfId="274" xr:uid="{00000000-0005-0000-0000-000018010000}"/>
    <cellStyle name="t_Annex C-BOQ(Piping-General)_Annex C-BOQ(Piping-General)_Annex C-BOQ(Piping-General)_SCHDULE 양식_DIRECT COST-GENECON 1-B_오만기계배관공사 공도구 소모품 견적현황" xfId="275" xr:uid="{00000000-0005-0000-0000-000019010000}"/>
    <cellStyle name="t_Annex C-BOQ(Piping-General)_Annex C-BOQ(Piping-General)_Annex C-BOQ(Piping-General)_SCHDULE 양식_DIRECT COST-GENECON 1-B_오만기계배관공사 공도구 소모품 견적현황-070412 - 2차" xfId="276" xr:uid="{00000000-0005-0000-0000-00001A010000}"/>
    <cellStyle name="t_Annex C-BOQ(Piping-General)_Annex C-BOQ(Piping-General)_Annex C-BOQ(Piping-General)_SCHDULE 양식_견적서-QP LAB PROJECT(GENECON 1-A) BASE-4632(최종)" xfId="277" xr:uid="{00000000-0005-0000-0000-00001B010000}"/>
    <cellStyle name="t_Annex C-BOQ(Piping-General)_Annex C-BOQ(Piping-General)_Annex C-BOQ(Piping-General)_SCHDULE 양식_견적서-QP LAB PROJECT(GENECON 1-A) BASE-4632(최종)_오만기계배관공사 공도구 소모품 견적현황" xfId="278" xr:uid="{00000000-0005-0000-0000-00001C010000}"/>
    <cellStyle name="t_Annex C-BOQ(Piping-General)_Annex C-BOQ(Piping-General)_Annex C-BOQ(Piping-General)_SCHDULE 양식_견적서-QP LAB PROJECT(GENECON 1-A) BASE-4632(최종)_오만기계배관공사 공도구 소모품 견적현황-070412 - 2차" xfId="279" xr:uid="{00000000-0005-0000-0000-00001D010000}"/>
    <cellStyle name="t_Annex C-BOQ(Piping-General)_Annex C-BOQ(Piping-General)_Annex C-BOQ(Piping-General)_SCHDULE 양식_공사수행계획서 GC-19" xfId="280" xr:uid="{00000000-0005-0000-0000-00001E010000}"/>
    <cellStyle name="t_Annex C-BOQ(Piping-General)_Annex C-BOQ(Piping-General)_Annex C-BOQ(Piping-General)_SCHDULE 양식_공사수행계획서 GC-19_오만기계배관공사 공도구 소모품 견적현황" xfId="281" xr:uid="{00000000-0005-0000-0000-00001F010000}"/>
    <cellStyle name="t_Annex C-BOQ(Piping-General)_Annex C-BOQ(Piping-General)_Annex C-BOQ(Piping-General)_SCHDULE 양식_공사수행계획서 GC-19_오만기계배관공사 공도구 소모품 견적현황-070412 - 2차" xfId="282" xr:uid="{00000000-0005-0000-0000-000020010000}"/>
    <cellStyle name="t_Annex C-BOQ(Piping-General)_Annex C-BOQ(Piping-General)_Annex C-BOQ(Piping-General)_SCHDULE 양식_오만기계배관공사 공도구 소모품 견적현황" xfId="283" xr:uid="{00000000-0005-0000-0000-000021010000}"/>
    <cellStyle name="t_Annex C-BOQ(Piping-General)_Annex C-BOQ(Piping-General)_Annex C-BOQ(Piping-General)_SCHDULE 양식_오만기계배관공사 공도구 소모품 견적현황-070412 - 2차" xfId="284" xr:uid="{00000000-0005-0000-0000-000022010000}"/>
    <cellStyle name="t_Annex C-BOQ(Piping-General)_Annex C-BOQ(Piping-General)_Annex C-BOQ(Piping-General)_SCHDULE 양식_이력서" xfId="285" xr:uid="{00000000-0005-0000-0000-000023010000}"/>
    <cellStyle name="t_Annex C-BOQ(Piping-General)_Annex C-BOQ(Piping-General)_Annex C-BOQ(Piping-General)_SCHDULE 양식_이력서_오만기계배관공사 공도구 소모품 견적현황" xfId="286" xr:uid="{00000000-0005-0000-0000-000024010000}"/>
    <cellStyle name="t_Annex C-BOQ(Piping-General)_Annex C-BOQ(Piping-General)_Annex C-BOQ(Piping-General)_SCHDULE 양식_이력서_오만기계배관공사 공도구 소모품 견적현황-070412 - 2차" xfId="287" xr:uid="{00000000-0005-0000-0000-000025010000}"/>
    <cellStyle name="t_Annex C-BOQ(Piping-General)_Annex C-BOQ(Piping-General)_Annex C-BOQ(Piping-General)_견적서-QP LAB PROJECT(GENECON 1-A) BASE-4632(최종)" xfId="288" xr:uid="{00000000-0005-0000-0000-000026010000}"/>
    <cellStyle name="t_Annex C-BOQ(Piping-General)_Annex C-BOQ(Piping-General)_Annex C-BOQ(Piping-General)_견적서-QP LAB PROJECT(GENECON 1-A) BASE-4632(최종)_오만기계배관공사 공도구 소모품 견적현황" xfId="289" xr:uid="{00000000-0005-0000-0000-000027010000}"/>
    <cellStyle name="t_Annex C-BOQ(Piping-General)_Annex C-BOQ(Piping-General)_Annex C-BOQ(Piping-General)_견적서-QP LAB PROJECT(GENECON 1-A) BASE-4632(최종)_오만기계배관공사 공도구 소모품 견적현황-070412 - 2차" xfId="290" xr:uid="{00000000-0005-0000-0000-000028010000}"/>
    <cellStyle name="t_Annex C-BOQ(Piping-General)_Annex C-BOQ(Piping-General)_Annex C-BOQ(Piping-General)_공사수행계획서 GC-19" xfId="291" xr:uid="{00000000-0005-0000-0000-000029010000}"/>
    <cellStyle name="t_Annex C-BOQ(Piping-General)_Annex C-BOQ(Piping-General)_Annex C-BOQ(Piping-General)_공사수행계획서 GC-19_오만기계배관공사 공도구 소모품 견적현황" xfId="292" xr:uid="{00000000-0005-0000-0000-00002A010000}"/>
    <cellStyle name="t_Annex C-BOQ(Piping-General)_Annex C-BOQ(Piping-General)_Annex C-BOQ(Piping-General)_공사수행계획서 GC-19_오만기계배관공사 공도구 소모품 견적현황-070412 - 2차" xfId="293" xr:uid="{00000000-0005-0000-0000-00002B010000}"/>
    <cellStyle name="t_Annex C-BOQ(Piping-General)_Annex C-BOQ(Piping-General)_Annex C-BOQ(Piping-General)_오만기계배관공사 공도구 소모품 견적현황" xfId="294" xr:uid="{00000000-0005-0000-0000-00002C010000}"/>
    <cellStyle name="t_Annex C-BOQ(Piping-General)_Annex C-BOQ(Piping-General)_Annex C-BOQ(Piping-General)_오만기계배관공사 공도구 소모품 견적현황-070412 - 2차" xfId="295" xr:uid="{00000000-0005-0000-0000-00002D010000}"/>
    <cellStyle name="t_Annex C-BOQ(Piping-General)_Annex C-BOQ(Piping-General)_Annex C-BOQ(Piping-General)_이력서" xfId="296" xr:uid="{00000000-0005-0000-0000-00002E010000}"/>
    <cellStyle name="t_Annex C-BOQ(Piping-General)_Annex C-BOQ(Piping-General)_Annex C-BOQ(Piping-General)_이력서_오만기계배관공사 공도구 소모품 견적현황" xfId="297" xr:uid="{00000000-0005-0000-0000-00002F010000}"/>
    <cellStyle name="t_Annex C-BOQ(Piping-General)_Annex C-BOQ(Piping-General)_Annex C-BOQ(Piping-General)_이력서_오만기계배관공사 공도구 소모품 견적현황-070412 - 2차" xfId="298" xr:uid="{00000000-0005-0000-0000-000030010000}"/>
    <cellStyle name="t_Annex C-BOQ(Piping-General)_Annex C-BOQ(Piping-General)_DIRECT COST-GENECON 1-B" xfId="299" xr:uid="{00000000-0005-0000-0000-000031010000}"/>
    <cellStyle name="t_Annex C-BOQ(Piping-General)_Annex C-BOQ(Piping-General)_DIRECT COST-GENECON 1-B_오만기계배관공사 공도구 소모품 견적현황" xfId="300" xr:uid="{00000000-0005-0000-0000-000032010000}"/>
    <cellStyle name="t_Annex C-BOQ(Piping-General)_Annex C-BOQ(Piping-General)_DIRECT COST-GENECON 1-B_오만기계배관공사 공도구 소모품 견적현황-070412 - 2차" xfId="301" xr:uid="{00000000-0005-0000-0000-000033010000}"/>
    <cellStyle name="t_Annex C-BOQ(Piping-General)_Annex C-BOQ(Piping-General)_SCHDULE 양식" xfId="302" xr:uid="{00000000-0005-0000-0000-000034010000}"/>
    <cellStyle name="t_Annex C-BOQ(Piping-General)_Annex C-BOQ(Piping-General)_SCHDULE 양식_Annex C-2 BOQ for Piping work" xfId="303" xr:uid="{00000000-0005-0000-0000-000035010000}"/>
    <cellStyle name="t_Annex C-BOQ(Piping-General)_Annex C-BOQ(Piping-General)_SCHDULE 양식_Annex C-2 BOQ for Piping work_오만기계배관공사 공도구 소모품 견적현황" xfId="304" xr:uid="{00000000-0005-0000-0000-000036010000}"/>
    <cellStyle name="t_Annex C-BOQ(Piping-General)_Annex C-BOQ(Piping-General)_SCHDULE 양식_Annex C-2 BOQ for Piping work_오만기계배관공사 공도구 소모품 견적현황-070412 - 2차" xfId="305" xr:uid="{00000000-0005-0000-0000-000037010000}"/>
    <cellStyle name="t_Annex C-BOQ(Piping-General)_Annex C-BOQ(Piping-General)_SCHDULE 양식_DIRECT COST-GENECON 1-B" xfId="306" xr:uid="{00000000-0005-0000-0000-000038010000}"/>
    <cellStyle name="t_Annex C-BOQ(Piping-General)_Annex C-BOQ(Piping-General)_SCHDULE 양식_DIRECT COST-GENECON 1-B_오만기계배관공사 공도구 소모품 견적현황" xfId="307" xr:uid="{00000000-0005-0000-0000-000039010000}"/>
    <cellStyle name="t_Annex C-BOQ(Piping-General)_Annex C-BOQ(Piping-General)_SCHDULE 양식_DIRECT COST-GENECON 1-B_오만기계배관공사 공도구 소모품 견적현황-070412 - 2차" xfId="308" xr:uid="{00000000-0005-0000-0000-00003A010000}"/>
    <cellStyle name="t_Annex C-BOQ(Piping-General)_Annex C-BOQ(Piping-General)_SCHDULE 양식_견적서-QP LAB PROJECT(GENECON 1-A) BASE-4632(최종)" xfId="309" xr:uid="{00000000-0005-0000-0000-00003B010000}"/>
    <cellStyle name="t_Annex C-BOQ(Piping-General)_Annex C-BOQ(Piping-General)_SCHDULE 양식_견적서-QP LAB PROJECT(GENECON 1-A) BASE-4632(최종)_오만기계배관공사 공도구 소모품 견적현황" xfId="310" xr:uid="{00000000-0005-0000-0000-00003C010000}"/>
    <cellStyle name="t_Annex C-BOQ(Piping-General)_Annex C-BOQ(Piping-General)_SCHDULE 양식_견적서-QP LAB PROJECT(GENECON 1-A) BASE-4632(최종)_오만기계배관공사 공도구 소모품 견적현황-070412 - 2차" xfId="311" xr:uid="{00000000-0005-0000-0000-00003D010000}"/>
    <cellStyle name="t_Annex C-BOQ(Piping-General)_Annex C-BOQ(Piping-General)_SCHDULE 양식_공사수행계획서 GC-19" xfId="312" xr:uid="{00000000-0005-0000-0000-00003E010000}"/>
    <cellStyle name="t_Annex C-BOQ(Piping-General)_Annex C-BOQ(Piping-General)_SCHDULE 양식_공사수행계획서 GC-19_오만기계배관공사 공도구 소모품 견적현황" xfId="313" xr:uid="{00000000-0005-0000-0000-00003F010000}"/>
    <cellStyle name="t_Annex C-BOQ(Piping-General)_Annex C-BOQ(Piping-General)_SCHDULE 양식_공사수행계획서 GC-19_오만기계배관공사 공도구 소모품 견적현황-070412 - 2차" xfId="314" xr:uid="{00000000-0005-0000-0000-000040010000}"/>
    <cellStyle name="t_Annex C-BOQ(Piping-General)_Annex C-BOQ(Piping-General)_SCHDULE 양식_오만기계배관공사 공도구 소모품 견적현황" xfId="315" xr:uid="{00000000-0005-0000-0000-000041010000}"/>
    <cellStyle name="t_Annex C-BOQ(Piping-General)_Annex C-BOQ(Piping-General)_SCHDULE 양식_오만기계배관공사 공도구 소모품 견적현황-070412 - 2차" xfId="316" xr:uid="{00000000-0005-0000-0000-000042010000}"/>
    <cellStyle name="t_Annex C-BOQ(Piping-General)_Annex C-BOQ(Piping-General)_SCHDULE 양식_이력서" xfId="317" xr:uid="{00000000-0005-0000-0000-000043010000}"/>
    <cellStyle name="t_Annex C-BOQ(Piping-General)_Annex C-BOQ(Piping-General)_SCHDULE 양식_이력서_오만기계배관공사 공도구 소모품 견적현황" xfId="318" xr:uid="{00000000-0005-0000-0000-000044010000}"/>
    <cellStyle name="t_Annex C-BOQ(Piping-General)_Annex C-BOQ(Piping-General)_SCHDULE 양식_이력서_오만기계배관공사 공도구 소모품 견적현황-070412 - 2차" xfId="319" xr:uid="{00000000-0005-0000-0000-000045010000}"/>
    <cellStyle name="t_Annex C-BOQ(Piping-General)_Annex C-BOQ(Piping-General)_견적서-QP LAB PROJECT(GENECON 1-A) BASE-4632(최종)" xfId="320" xr:uid="{00000000-0005-0000-0000-000046010000}"/>
    <cellStyle name="t_Annex C-BOQ(Piping-General)_Annex C-BOQ(Piping-General)_견적서-QP LAB PROJECT(GENECON 1-A) BASE-4632(최종)_오만기계배관공사 공도구 소모품 견적현황" xfId="321" xr:uid="{00000000-0005-0000-0000-000047010000}"/>
    <cellStyle name="t_Annex C-BOQ(Piping-General)_Annex C-BOQ(Piping-General)_견적서-QP LAB PROJECT(GENECON 1-A) BASE-4632(최종)_오만기계배관공사 공도구 소모품 견적현황-070412 - 2차" xfId="322" xr:uid="{00000000-0005-0000-0000-000048010000}"/>
    <cellStyle name="t_Annex C-BOQ(Piping-General)_Annex C-BOQ(Piping-General)_공사수행계획서" xfId="323" xr:uid="{00000000-0005-0000-0000-000049010000}"/>
    <cellStyle name="t_Annex C-BOQ(Piping-General)_Annex C-BOQ(Piping-General)_공사수행계획서 GC-19" xfId="324" xr:uid="{00000000-0005-0000-0000-00004A010000}"/>
    <cellStyle name="t_Annex C-BOQ(Piping-General)_Annex C-BOQ(Piping-General)_공사수행계획서 GC-19_오만기계배관공사 공도구 소모품 견적현황" xfId="325" xr:uid="{00000000-0005-0000-0000-00004B010000}"/>
    <cellStyle name="t_Annex C-BOQ(Piping-General)_Annex C-BOQ(Piping-General)_공사수행계획서 GC-19_오만기계배관공사 공도구 소모품 견적현황-070412 - 2차" xfId="326" xr:uid="{00000000-0005-0000-0000-00004C010000}"/>
    <cellStyle name="t_Annex C-BOQ(Piping-General)_Annex C-BOQ(Piping-General)_공사수행계획서_오만기계배관공사 공도구 소모품 견적현황" xfId="327" xr:uid="{00000000-0005-0000-0000-00004D010000}"/>
    <cellStyle name="t_Annex C-BOQ(Piping-General)_Annex C-BOQ(Piping-General)_공사수행계획서_오만기계배관공사 공도구 소모품 견적현황-070412 - 2차" xfId="328" xr:uid="{00000000-0005-0000-0000-00004E010000}"/>
    <cellStyle name="t_Annex C-BOQ(Piping-General)_Annex C-BOQ(Piping-General)_수행계획서" xfId="329" xr:uid="{00000000-0005-0000-0000-00004F010000}"/>
    <cellStyle name="t_Annex C-BOQ(Piping-General)_Annex C-BOQ(Piping-General)_수행계획서_Annex C-2 BOQ for Piping work" xfId="330" xr:uid="{00000000-0005-0000-0000-000050010000}"/>
    <cellStyle name="t_Annex C-BOQ(Piping-General)_Annex C-BOQ(Piping-General)_수행계획서_Annex C-2 BOQ for Piping work_오만기계배관공사 공도구 소모품 견적현황" xfId="331" xr:uid="{00000000-0005-0000-0000-000051010000}"/>
    <cellStyle name="t_Annex C-BOQ(Piping-General)_Annex C-BOQ(Piping-General)_수행계획서_Annex C-2 BOQ for Piping work_오만기계배관공사 공도구 소모품 견적현황-070412 - 2차" xfId="332" xr:uid="{00000000-0005-0000-0000-000052010000}"/>
    <cellStyle name="t_Annex C-BOQ(Piping-General)_Annex C-BOQ(Piping-General)_수행계획서_DIRECT COST-GENECON 1-B" xfId="333" xr:uid="{00000000-0005-0000-0000-000053010000}"/>
    <cellStyle name="t_Annex C-BOQ(Piping-General)_Annex C-BOQ(Piping-General)_수행계획서_DIRECT COST-GENECON 1-B_오만기계배관공사 공도구 소모품 견적현황" xfId="334" xr:uid="{00000000-0005-0000-0000-000054010000}"/>
    <cellStyle name="t_Annex C-BOQ(Piping-General)_Annex C-BOQ(Piping-General)_수행계획서_DIRECT COST-GENECON 1-B_오만기계배관공사 공도구 소모품 견적현황-070412 - 2차" xfId="335" xr:uid="{00000000-0005-0000-0000-000055010000}"/>
    <cellStyle name="t_Annex C-BOQ(Piping-General)_Annex C-BOQ(Piping-General)_수행계획서_SCHDULE 양식" xfId="336" xr:uid="{00000000-0005-0000-0000-000056010000}"/>
    <cellStyle name="t_Annex C-BOQ(Piping-General)_Annex C-BOQ(Piping-General)_수행계획서_SCHDULE 양식_Annex C-2 BOQ for Piping work" xfId="337" xr:uid="{00000000-0005-0000-0000-000057010000}"/>
    <cellStyle name="t_Annex C-BOQ(Piping-General)_Annex C-BOQ(Piping-General)_수행계획서_SCHDULE 양식_Annex C-2 BOQ for Piping work_오만기계배관공사 공도구 소모품 견적현황" xfId="338" xr:uid="{00000000-0005-0000-0000-000058010000}"/>
    <cellStyle name="t_Annex C-BOQ(Piping-General)_Annex C-BOQ(Piping-General)_수행계획서_SCHDULE 양식_Annex C-2 BOQ for Piping work_오만기계배관공사 공도구 소모품 견적현황-070412 - 2차" xfId="339" xr:uid="{00000000-0005-0000-0000-000059010000}"/>
    <cellStyle name="t_Annex C-BOQ(Piping-General)_Annex C-BOQ(Piping-General)_수행계획서_SCHDULE 양식_DIRECT COST-GENECON 1-B" xfId="340" xr:uid="{00000000-0005-0000-0000-00005A010000}"/>
    <cellStyle name="t_Annex C-BOQ(Piping-General)_Annex C-BOQ(Piping-General)_수행계획서_SCHDULE 양식_DIRECT COST-GENECON 1-B_오만기계배관공사 공도구 소모품 견적현황" xfId="341" xr:uid="{00000000-0005-0000-0000-00005B010000}"/>
    <cellStyle name="t_Annex C-BOQ(Piping-General)_Annex C-BOQ(Piping-General)_수행계획서_SCHDULE 양식_DIRECT COST-GENECON 1-B_오만기계배관공사 공도구 소모품 견적현황-070412 - 2차" xfId="342" xr:uid="{00000000-0005-0000-0000-00005C010000}"/>
    <cellStyle name="t_Annex C-BOQ(Piping-General)_Annex C-BOQ(Piping-General)_수행계획서_SCHDULE 양식_견적서-QP LAB PROJECT(GENECON 1-A) BASE-4632(최종)" xfId="343" xr:uid="{00000000-0005-0000-0000-00005D010000}"/>
    <cellStyle name="t_Annex C-BOQ(Piping-General)_Annex C-BOQ(Piping-General)_수행계획서_SCHDULE 양식_견적서-QP LAB PROJECT(GENECON 1-A) BASE-4632(최종)_오만기계배관공사 공도구 소모품 견적현황" xfId="344" xr:uid="{00000000-0005-0000-0000-00005E010000}"/>
    <cellStyle name="t_Annex C-BOQ(Piping-General)_Annex C-BOQ(Piping-General)_수행계획서_SCHDULE 양식_견적서-QP LAB PROJECT(GENECON 1-A) BASE-4632(최종)_오만기계배관공사 공도구 소모품 견적현황-070412 - 2차" xfId="345" xr:uid="{00000000-0005-0000-0000-00005F010000}"/>
    <cellStyle name="t_Annex C-BOQ(Piping-General)_Annex C-BOQ(Piping-General)_수행계획서_SCHDULE 양식_공사수행계획서 GC-19" xfId="346" xr:uid="{00000000-0005-0000-0000-000060010000}"/>
    <cellStyle name="t_Annex C-BOQ(Piping-General)_Annex C-BOQ(Piping-General)_수행계획서_SCHDULE 양식_공사수행계획서 GC-19_오만기계배관공사 공도구 소모품 견적현황" xfId="347" xr:uid="{00000000-0005-0000-0000-000061010000}"/>
    <cellStyle name="t_Annex C-BOQ(Piping-General)_Annex C-BOQ(Piping-General)_수행계획서_SCHDULE 양식_공사수행계획서 GC-19_오만기계배관공사 공도구 소모품 견적현황-070412 - 2차" xfId="348" xr:uid="{00000000-0005-0000-0000-000062010000}"/>
    <cellStyle name="t_Annex C-BOQ(Piping-General)_Annex C-BOQ(Piping-General)_수행계획서_SCHDULE 양식_오만기계배관공사 공도구 소모품 견적현황" xfId="349" xr:uid="{00000000-0005-0000-0000-000063010000}"/>
    <cellStyle name="t_Annex C-BOQ(Piping-General)_Annex C-BOQ(Piping-General)_수행계획서_SCHDULE 양식_오만기계배관공사 공도구 소모품 견적현황-070412 - 2차" xfId="350" xr:uid="{00000000-0005-0000-0000-000064010000}"/>
    <cellStyle name="t_Annex C-BOQ(Piping-General)_Annex C-BOQ(Piping-General)_수행계획서_SCHDULE 양식_이력서" xfId="351" xr:uid="{00000000-0005-0000-0000-000065010000}"/>
    <cellStyle name="t_Annex C-BOQ(Piping-General)_Annex C-BOQ(Piping-General)_수행계획서_SCHDULE 양식_이력서_오만기계배관공사 공도구 소모품 견적현황" xfId="352" xr:uid="{00000000-0005-0000-0000-000066010000}"/>
    <cellStyle name="t_Annex C-BOQ(Piping-General)_Annex C-BOQ(Piping-General)_수행계획서_SCHDULE 양식_이력서_오만기계배관공사 공도구 소모품 견적현황-070412 - 2차" xfId="353" xr:uid="{00000000-0005-0000-0000-000067010000}"/>
    <cellStyle name="t_Annex C-BOQ(Piping-General)_Annex C-BOQ(Piping-General)_수행계획서_견적서-QP LAB PROJECT(GENECON 1-A) BASE-4632(최종)" xfId="354" xr:uid="{00000000-0005-0000-0000-000068010000}"/>
    <cellStyle name="t_Annex C-BOQ(Piping-General)_Annex C-BOQ(Piping-General)_수행계획서_견적서-QP LAB PROJECT(GENECON 1-A) BASE-4632(최종)_오만기계배관공사 공도구 소모품 견적현황" xfId="355" xr:uid="{00000000-0005-0000-0000-000069010000}"/>
    <cellStyle name="t_Annex C-BOQ(Piping-General)_Annex C-BOQ(Piping-General)_수행계획서_견적서-QP LAB PROJECT(GENECON 1-A) BASE-4632(최종)_오만기계배관공사 공도구 소모품 견적현황-070412 - 2차" xfId="356" xr:uid="{00000000-0005-0000-0000-00006A010000}"/>
    <cellStyle name="t_Annex C-BOQ(Piping-General)_Annex C-BOQ(Piping-General)_수행계획서_공사수행계획서 GC-19" xfId="357" xr:uid="{00000000-0005-0000-0000-00006B010000}"/>
    <cellStyle name="t_Annex C-BOQ(Piping-General)_Annex C-BOQ(Piping-General)_수행계획서_공사수행계획서 GC-19_오만기계배관공사 공도구 소모품 견적현황" xfId="358" xr:uid="{00000000-0005-0000-0000-00006C010000}"/>
    <cellStyle name="t_Annex C-BOQ(Piping-General)_Annex C-BOQ(Piping-General)_수행계획서_공사수행계획서 GC-19_오만기계배관공사 공도구 소모품 견적현황-070412 - 2차" xfId="359" xr:uid="{00000000-0005-0000-0000-00006D010000}"/>
    <cellStyle name="t_Annex C-BOQ(Piping-General)_Annex C-BOQ(Piping-General)_수행계획서_오만기계배관공사 공도구 소모품 견적현황" xfId="360" xr:uid="{00000000-0005-0000-0000-00006E010000}"/>
    <cellStyle name="t_Annex C-BOQ(Piping-General)_Annex C-BOQ(Piping-General)_수행계획서_오만기계배관공사 공도구 소모품 견적현황-070412 - 2차" xfId="361" xr:uid="{00000000-0005-0000-0000-00006F010000}"/>
    <cellStyle name="t_Annex C-BOQ(Piping-General)_Annex C-BOQ(Piping-General)_수행계획서_이력서" xfId="362" xr:uid="{00000000-0005-0000-0000-000070010000}"/>
    <cellStyle name="t_Annex C-BOQ(Piping-General)_Annex C-BOQ(Piping-General)_수행계획서_이력서_오만기계배관공사 공도구 소모품 견적현황" xfId="363" xr:uid="{00000000-0005-0000-0000-000071010000}"/>
    <cellStyle name="t_Annex C-BOQ(Piping-General)_Annex C-BOQ(Piping-General)_수행계획서_이력서_오만기계배관공사 공도구 소모품 견적현황-070412 - 2차" xfId="364" xr:uid="{00000000-0005-0000-0000-000072010000}"/>
    <cellStyle name="t_Annex C-BOQ(Piping-General)_Annex C-BOQ(Piping-General)_오만기계배관공사 공도구 소모품 견적현황" xfId="365" xr:uid="{00000000-0005-0000-0000-000073010000}"/>
    <cellStyle name="t_Annex C-BOQ(Piping-General)_Annex C-BOQ(Piping-General)_오만기계배관공사 공도구 소모품 견적현황-070412 - 2차" xfId="366" xr:uid="{00000000-0005-0000-0000-000074010000}"/>
    <cellStyle name="t_Annex C-BOQ(Piping-General)_Annex C-BOQ(Piping-General)_이력서" xfId="367" xr:uid="{00000000-0005-0000-0000-000075010000}"/>
    <cellStyle name="t_Annex C-BOQ(Piping-General)_Annex C-BOQ(Piping-General)_이력서_오만기계배관공사 공도구 소모품 견적현황" xfId="368" xr:uid="{00000000-0005-0000-0000-000076010000}"/>
    <cellStyle name="t_Annex C-BOQ(Piping-General)_Annex C-BOQ(Piping-General)_이력서_오만기계배관공사 공도구 소모품 견적현황-070412 - 2차" xfId="369" xr:uid="{00000000-0005-0000-0000-000077010000}"/>
    <cellStyle name="t_Annex C-BOQ(Piping-General)_Annex C-BOQ(Piping-General)-1" xfId="370" xr:uid="{00000000-0005-0000-0000-000078010000}"/>
    <cellStyle name="t_Annex C-BOQ(Piping-General)_Annex C-BOQ(Piping-General)-1_Annex C-2 BOQ for Piping work" xfId="371" xr:uid="{00000000-0005-0000-0000-000079010000}"/>
    <cellStyle name="t_Annex C-BOQ(Piping-General)_Annex C-BOQ(Piping-General)-1_Annex C-2 BOQ for Piping work_오만기계배관공사 공도구 소모품 견적현황" xfId="372" xr:uid="{00000000-0005-0000-0000-00007A010000}"/>
    <cellStyle name="t_Annex C-BOQ(Piping-General)_Annex C-BOQ(Piping-General)-1_Annex C-2 BOQ for Piping work_오만기계배관공사 공도구 소모품 견적현황-070412 - 2차" xfId="373" xr:uid="{00000000-0005-0000-0000-00007B010000}"/>
    <cellStyle name="t_Annex C-BOQ(Piping-General)_Annex C-BOQ(Piping-General)-1_Annex C-BOQ(Piping-General)" xfId="374" xr:uid="{00000000-0005-0000-0000-00007C010000}"/>
    <cellStyle name="t_Annex C-BOQ(Piping-General)_Annex C-BOQ(Piping-General)-1_Annex C-BOQ(Piping-General)_Annex C-2 BOQ for Piping work" xfId="375" xr:uid="{00000000-0005-0000-0000-00007D010000}"/>
    <cellStyle name="t_Annex C-BOQ(Piping-General)_Annex C-BOQ(Piping-General)-1_Annex C-BOQ(Piping-General)_Annex C-2 BOQ for Piping work_오만기계배관공사 공도구 소모품 견적현황" xfId="376" xr:uid="{00000000-0005-0000-0000-00007E010000}"/>
    <cellStyle name="t_Annex C-BOQ(Piping-General)_Annex C-BOQ(Piping-General)-1_Annex C-BOQ(Piping-General)_Annex C-2 BOQ for Piping work_오만기계배관공사 공도구 소모품 견적현황-070412 - 2차" xfId="377" xr:uid="{00000000-0005-0000-0000-00007F010000}"/>
    <cellStyle name="t_Annex C-BOQ(Piping-General)_Annex C-BOQ(Piping-General)-1_Annex C-BOQ(Piping-General)_DIRECT COST-GENECON 1-B" xfId="378" xr:uid="{00000000-0005-0000-0000-000080010000}"/>
    <cellStyle name="t_Annex C-BOQ(Piping-General)_Annex C-BOQ(Piping-General)-1_Annex C-BOQ(Piping-General)_DIRECT COST-GENECON 1-B_오만기계배관공사 공도구 소모품 견적현황" xfId="379" xr:uid="{00000000-0005-0000-0000-000081010000}"/>
    <cellStyle name="t_Annex C-BOQ(Piping-General)_Annex C-BOQ(Piping-General)-1_Annex C-BOQ(Piping-General)_DIRECT COST-GENECON 1-B_오만기계배관공사 공도구 소모품 견적현황-070412 - 2차" xfId="380" xr:uid="{00000000-0005-0000-0000-000082010000}"/>
    <cellStyle name="t_Annex C-BOQ(Piping-General)_Annex C-BOQ(Piping-General)-1_Annex C-BOQ(Piping-General)_SCHDULE 양식" xfId="381" xr:uid="{00000000-0005-0000-0000-000083010000}"/>
    <cellStyle name="t_Annex C-BOQ(Piping-General)_Annex C-BOQ(Piping-General)-1_Annex C-BOQ(Piping-General)_SCHDULE 양식_Annex C-2 BOQ for Piping work" xfId="382" xr:uid="{00000000-0005-0000-0000-000084010000}"/>
    <cellStyle name="t_Annex C-BOQ(Piping-General)_Annex C-BOQ(Piping-General)-1_Annex C-BOQ(Piping-General)_SCHDULE 양식_Annex C-2 BOQ for Piping work_오만기계배관공사 공도구 소모품 견적현황" xfId="383" xr:uid="{00000000-0005-0000-0000-000085010000}"/>
    <cellStyle name="t_Annex C-BOQ(Piping-General)_Annex C-BOQ(Piping-General)-1_Annex C-BOQ(Piping-General)_SCHDULE 양식_Annex C-2 BOQ for Piping work_오만기계배관공사 공도구 소모품 견적현황-070412 - 2차" xfId="384" xr:uid="{00000000-0005-0000-0000-000086010000}"/>
    <cellStyle name="t_Annex C-BOQ(Piping-General)_Annex C-BOQ(Piping-General)-1_Annex C-BOQ(Piping-General)_SCHDULE 양식_DIRECT COST-GENECON 1-B" xfId="385" xr:uid="{00000000-0005-0000-0000-000087010000}"/>
    <cellStyle name="t_Annex C-BOQ(Piping-General)_Annex C-BOQ(Piping-General)-1_Annex C-BOQ(Piping-General)_SCHDULE 양식_DIRECT COST-GENECON 1-B_오만기계배관공사 공도구 소모품 견적현황" xfId="386" xr:uid="{00000000-0005-0000-0000-000088010000}"/>
    <cellStyle name="t_Annex C-BOQ(Piping-General)_Annex C-BOQ(Piping-General)-1_Annex C-BOQ(Piping-General)_SCHDULE 양식_DIRECT COST-GENECON 1-B_오만기계배관공사 공도구 소모품 견적현황-070412 - 2차" xfId="387" xr:uid="{00000000-0005-0000-0000-000089010000}"/>
    <cellStyle name="t_Annex C-BOQ(Piping-General)_Annex C-BOQ(Piping-General)-1_Annex C-BOQ(Piping-General)_SCHDULE 양식_견적서-QP LAB PROJECT(GENECON 1-A) BASE-4632(최종)" xfId="388" xr:uid="{00000000-0005-0000-0000-00008A010000}"/>
    <cellStyle name="t_Annex C-BOQ(Piping-General)_Annex C-BOQ(Piping-General)-1_Annex C-BOQ(Piping-General)_SCHDULE 양식_견적서-QP LAB PROJECT(GENECON 1-A) BASE-4632(최종)_오만기계배관공사 공도구 소모품 견적현황" xfId="389" xr:uid="{00000000-0005-0000-0000-00008B010000}"/>
    <cellStyle name="t_Annex C-BOQ(Piping-General)_Annex C-BOQ(Piping-General)-1_Annex C-BOQ(Piping-General)_SCHDULE 양식_견적서-QP LAB PROJECT(GENECON 1-A) BASE-4632(최종)_오만기계배관공사 공도구 소모품 견적현황-070412 - 2차" xfId="390" xr:uid="{00000000-0005-0000-0000-00008C010000}"/>
    <cellStyle name="t_Annex C-BOQ(Piping-General)_Annex C-BOQ(Piping-General)-1_Annex C-BOQ(Piping-General)_SCHDULE 양식_공사수행계획서 GC-19" xfId="391" xr:uid="{00000000-0005-0000-0000-00008D010000}"/>
    <cellStyle name="t_Annex C-BOQ(Piping-General)_Annex C-BOQ(Piping-General)-1_Annex C-BOQ(Piping-General)_SCHDULE 양식_공사수행계획서 GC-19_오만기계배관공사 공도구 소모품 견적현황" xfId="392" xr:uid="{00000000-0005-0000-0000-00008E010000}"/>
    <cellStyle name="t_Annex C-BOQ(Piping-General)_Annex C-BOQ(Piping-General)-1_Annex C-BOQ(Piping-General)_SCHDULE 양식_공사수행계획서 GC-19_오만기계배관공사 공도구 소모품 견적현황-070412 - 2차" xfId="393" xr:uid="{00000000-0005-0000-0000-00008F010000}"/>
    <cellStyle name="t_Annex C-BOQ(Piping-General)_Annex C-BOQ(Piping-General)-1_Annex C-BOQ(Piping-General)_SCHDULE 양식_오만기계배관공사 공도구 소모품 견적현황" xfId="394" xr:uid="{00000000-0005-0000-0000-000090010000}"/>
    <cellStyle name="t_Annex C-BOQ(Piping-General)_Annex C-BOQ(Piping-General)-1_Annex C-BOQ(Piping-General)_SCHDULE 양식_오만기계배관공사 공도구 소모품 견적현황-070412 - 2차" xfId="395" xr:uid="{00000000-0005-0000-0000-000091010000}"/>
    <cellStyle name="t_Annex C-BOQ(Piping-General)_Annex C-BOQ(Piping-General)-1_Annex C-BOQ(Piping-General)_SCHDULE 양식_이력서" xfId="396" xr:uid="{00000000-0005-0000-0000-000092010000}"/>
    <cellStyle name="t_Annex C-BOQ(Piping-General)_Annex C-BOQ(Piping-General)-1_Annex C-BOQ(Piping-General)_SCHDULE 양식_이력서_오만기계배관공사 공도구 소모품 견적현황" xfId="397" xr:uid="{00000000-0005-0000-0000-000093010000}"/>
    <cellStyle name="t_Annex C-BOQ(Piping-General)_Annex C-BOQ(Piping-General)-1_Annex C-BOQ(Piping-General)_SCHDULE 양식_이력서_오만기계배관공사 공도구 소모품 견적현황-070412 - 2차" xfId="398" xr:uid="{00000000-0005-0000-0000-000094010000}"/>
    <cellStyle name="t_Annex C-BOQ(Piping-General)_Annex C-BOQ(Piping-General)-1_Annex C-BOQ(Piping-General)_견적서-QP LAB PROJECT(GENECON 1-A) BASE-4632(최종)" xfId="399" xr:uid="{00000000-0005-0000-0000-000095010000}"/>
    <cellStyle name="t_Annex C-BOQ(Piping-General)_Annex C-BOQ(Piping-General)-1_Annex C-BOQ(Piping-General)_견적서-QP LAB PROJECT(GENECON 1-A) BASE-4632(최종)_오만기계배관공사 공도구 소모품 견적현황" xfId="400" xr:uid="{00000000-0005-0000-0000-000096010000}"/>
    <cellStyle name="t_Annex C-BOQ(Piping-General)_Annex C-BOQ(Piping-General)-1_Annex C-BOQ(Piping-General)_견적서-QP LAB PROJECT(GENECON 1-A) BASE-4632(최종)_오만기계배관공사 공도구 소모품 견적현황-070412 - 2차" xfId="401" xr:uid="{00000000-0005-0000-0000-000097010000}"/>
    <cellStyle name="t_Annex C-BOQ(Piping-General)_Annex C-BOQ(Piping-General)-1_Annex C-BOQ(Piping-General)_공사수행계획서 GC-19" xfId="402" xr:uid="{00000000-0005-0000-0000-000098010000}"/>
    <cellStyle name="t_Annex C-BOQ(Piping-General)_Annex C-BOQ(Piping-General)-1_Annex C-BOQ(Piping-General)_공사수행계획서 GC-19_오만기계배관공사 공도구 소모품 견적현황" xfId="403" xr:uid="{00000000-0005-0000-0000-000099010000}"/>
    <cellStyle name="t_Annex C-BOQ(Piping-General)_Annex C-BOQ(Piping-General)-1_Annex C-BOQ(Piping-General)_공사수행계획서 GC-19_오만기계배관공사 공도구 소모품 견적현황-070412 - 2차" xfId="404" xr:uid="{00000000-0005-0000-0000-00009A010000}"/>
    <cellStyle name="t_Annex C-BOQ(Piping-General)_Annex C-BOQ(Piping-General)-1_Annex C-BOQ(Piping-General)_오만기계배관공사 공도구 소모품 견적현황" xfId="405" xr:uid="{00000000-0005-0000-0000-00009B010000}"/>
    <cellStyle name="t_Annex C-BOQ(Piping-General)_Annex C-BOQ(Piping-General)-1_Annex C-BOQ(Piping-General)_오만기계배관공사 공도구 소모품 견적현황-070412 - 2차" xfId="406" xr:uid="{00000000-0005-0000-0000-00009C010000}"/>
    <cellStyle name="t_Annex C-BOQ(Piping-General)_Annex C-BOQ(Piping-General)-1_Annex C-BOQ(Piping-General)_이력서" xfId="407" xr:uid="{00000000-0005-0000-0000-00009D010000}"/>
    <cellStyle name="t_Annex C-BOQ(Piping-General)_Annex C-BOQ(Piping-General)-1_Annex C-BOQ(Piping-General)_이력서_오만기계배관공사 공도구 소모품 견적현황" xfId="408" xr:uid="{00000000-0005-0000-0000-00009E010000}"/>
    <cellStyle name="t_Annex C-BOQ(Piping-General)_Annex C-BOQ(Piping-General)-1_Annex C-BOQ(Piping-General)_이력서_오만기계배관공사 공도구 소모품 견적현황-070412 - 2차" xfId="409" xr:uid="{00000000-0005-0000-0000-00009F010000}"/>
    <cellStyle name="t_Annex C-BOQ(Piping-General)_Annex C-BOQ(Piping-General)-1_DIRECT COST-GENECON 1-B" xfId="410" xr:uid="{00000000-0005-0000-0000-0000A0010000}"/>
    <cellStyle name="t_Annex C-BOQ(Piping-General)_Annex C-BOQ(Piping-General)-1_DIRECT COST-GENECON 1-B_오만기계배관공사 공도구 소모품 견적현황" xfId="411" xr:uid="{00000000-0005-0000-0000-0000A1010000}"/>
    <cellStyle name="t_Annex C-BOQ(Piping-General)_Annex C-BOQ(Piping-General)-1_DIRECT COST-GENECON 1-B_오만기계배관공사 공도구 소모품 견적현황-070412 - 2차" xfId="412" xr:uid="{00000000-0005-0000-0000-0000A2010000}"/>
    <cellStyle name="t_Annex C-BOQ(Piping-General)_Annex C-BOQ(Piping-General)-1_SCHDULE 양식" xfId="413" xr:uid="{00000000-0005-0000-0000-0000A3010000}"/>
    <cellStyle name="t_Annex C-BOQ(Piping-General)_Annex C-BOQ(Piping-General)-1_SCHDULE 양식_Annex C-2 BOQ for Piping work" xfId="414" xr:uid="{00000000-0005-0000-0000-0000A4010000}"/>
    <cellStyle name="t_Annex C-BOQ(Piping-General)_Annex C-BOQ(Piping-General)-1_SCHDULE 양식_Annex C-2 BOQ for Piping work_오만기계배관공사 공도구 소모품 견적현황" xfId="415" xr:uid="{00000000-0005-0000-0000-0000A5010000}"/>
    <cellStyle name="t_Annex C-BOQ(Piping-General)_Annex C-BOQ(Piping-General)-1_SCHDULE 양식_Annex C-2 BOQ for Piping work_오만기계배관공사 공도구 소모품 견적현황-070412 - 2차" xfId="416" xr:uid="{00000000-0005-0000-0000-0000A6010000}"/>
    <cellStyle name="t_Annex C-BOQ(Piping-General)_Annex C-BOQ(Piping-General)-1_SCHDULE 양식_DIRECT COST-GENECON 1-B" xfId="417" xr:uid="{00000000-0005-0000-0000-0000A7010000}"/>
    <cellStyle name="t_Annex C-BOQ(Piping-General)_Annex C-BOQ(Piping-General)-1_SCHDULE 양식_DIRECT COST-GENECON 1-B_오만기계배관공사 공도구 소모품 견적현황" xfId="418" xr:uid="{00000000-0005-0000-0000-0000A8010000}"/>
    <cellStyle name="t_Annex C-BOQ(Piping-General)_Annex C-BOQ(Piping-General)-1_SCHDULE 양식_DIRECT COST-GENECON 1-B_오만기계배관공사 공도구 소모품 견적현황-070412 - 2차" xfId="419" xr:uid="{00000000-0005-0000-0000-0000A9010000}"/>
    <cellStyle name="t_Annex C-BOQ(Piping-General)_Annex C-BOQ(Piping-General)-1_SCHDULE 양식_견적서-QP LAB PROJECT(GENECON 1-A) BASE-4632(최종)" xfId="420" xr:uid="{00000000-0005-0000-0000-0000AA010000}"/>
    <cellStyle name="t_Annex C-BOQ(Piping-General)_Annex C-BOQ(Piping-General)-1_SCHDULE 양식_견적서-QP LAB PROJECT(GENECON 1-A) BASE-4632(최종)_오만기계배관공사 공도구 소모품 견적현황" xfId="421" xr:uid="{00000000-0005-0000-0000-0000AB010000}"/>
    <cellStyle name="t_Annex C-BOQ(Piping-General)_Annex C-BOQ(Piping-General)-1_SCHDULE 양식_견적서-QP LAB PROJECT(GENECON 1-A) BASE-4632(최종)_오만기계배관공사 공도구 소모품 견적현황-070412 - 2차" xfId="422" xr:uid="{00000000-0005-0000-0000-0000AC010000}"/>
    <cellStyle name="t_Annex C-BOQ(Piping-General)_Annex C-BOQ(Piping-General)-1_SCHDULE 양식_공사수행계획서 GC-19" xfId="423" xr:uid="{00000000-0005-0000-0000-0000AD010000}"/>
    <cellStyle name="t_Annex C-BOQ(Piping-General)_Annex C-BOQ(Piping-General)-1_SCHDULE 양식_공사수행계획서 GC-19_오만기계배관공사 공도구 소모품 견적현황" xfId="424" xr:uid="{00000000-0005-0000-0000-0000AE010000}"/>
    <cellStyle name="t_Annex C-BOQ(Piping-General)_Annex C-BOQ(Piping-General)-1_SCHDULE 양식_공사수행계획서 GC-19_오만기계배관공사 공도구 소모품 견적현황-070412 - 2차" xfId="425" xr:uid="{00000000-0005-0000-0000-0000AF010000}"/>
    <cellStyle name="t_Annex C-BOQ(Piping-General)_Annex C-BOQ(Piping-General)-1_SCHDULE 양식_오만기계배관공사 공도구 소모품 견적현황" xfId="426" xr:uid="{00000000-0005-0000-0000-0000B0010000}"/>
    <cellStyle name="t_Annex C-BOQ(Piping-General)_Annex C-BOQ(Piping-General)-1_SCHDULE 양식_오만기계배관공사 공도구 소모품 견적현황-070412 - 2차" xfId="427" xr:uid="{00000000-0005-0000-0000-0000B1010000}"/>
    <cellStyle name="t_Annex C-BOQ(Piping-General)_Annex C-BOQ(Piping-General)-1_SCHDULE 양식_이력서" xfId="428" xr:uid="{00000000-0005-0000-0000-0000B2010000}"/>
    <cellStyle name="t_Annex C-BOQ(Piping-General)_Annex C-BOQ(Piping-General)-1_SCHDULE 양식_이력서_오만기계배관공사 공도구 소모품 견적현황" xfId="429" xr:uid="{00000000-0005-0000-0000-0000B3010000}"/>
    <cellStyle name="t_Annex C-BOQ(Piping-General)_Annex C-BOQ(Piping-General)-1_SCHDULE 양식_이력서_오만기계배관공사 공도구 소모품 견적현황-070412 - 2차" xfId="430" xr:uid="{00000000-0005-0000-0000-0000B4010000}"/>
    <cellStyle name="t_Annex C-BOQ(Piping-General)_Annex C-BOQ(Piping-General)-1_견적서-QP LAB PROJECT(GENECON 1-A) BASE-4632(최종)" xfId="431" xr:uid="{00000000-0005-0000-0000-0000B5010000}"/>
    <cellStyle name="t_Annex C-BOQ(Piping-General)_Annex C-BOQ(Piping-General)-1_견적서-QP LAB PROJECT(GENECON 1-A) BASE-4632(최종)_오만기계배관공사 공도구 소모품 견적현황" xfId="432" xr:uid="{00000000-0005-0000-0000-0000B6010000}"/>
    <cellStyle name="t_Annex C-BOQ(Piping-General)_Annex C-BOQ(Piping-General)-1_견적서-QP LAB PROJECT(GENECON 1-A) BASE-4632(최종)_오만기계배관공사 공도구 소모품 견적현황-070412 - 2차" xfId="433" xr:uid="{00000000-0005-0000-0000-0000B7010000}"/>
    <cellStyle name="t_Annex C-BOQ(Piping-General)_Annex C-BOQ(Piping-General)-1_공사수행계획서" xfId="434" xr:uid="{00000000-0005-0000-0000-0000B8010000}"/>
    <cellStyle name="t_Annex C-BOQ(Piping-General)_Annex C-BOQ(Piping-General)-1_공사수행계획서 GC-19" xfId="435" xr:uid="{00000000-0005-0000-0000-0000B9010000}"/>
    <cellStyle name="t_Annex C-BOQ(Piping-General)_Annex C-BOQ(Piping-General)-1_공사수행계획서 GC-19_오만기계배관공사 공도구 소모품 견적현황" xfId="436" xr:uid="{00000000-0005-0000-0000-0000BA010000}"/>
    <cellStyle name="t_Annex C-BOQ(Piping-General)_Annex C-BOQ(Piping-General)-1_공사수행계획서 GC-19_오만기계배관공사 공도구 소모품 견적현황-070412 - 2차" xfId="437" xr:uid="{00000000-0005-0000-0000-0000BB010000}"/>
    <cellStyle name="t_Annex C-BOQ(Piping-General)_Annex C-BOQ(Piping-General)-1_공사수행계획서_오만기계배관공사 공도구 소모품 견적현황" xfId="438" xr:uid="{00000000-0005-0000-0000-0000BC010000}"/>
    <cellStyle name="t_Annex C-BOQ(Piping-General)_Annex C-BOQ(Piping-General)-1_공사수행계획서_오만기계배관공사 공도구 소모품 견적현황-070412 - 2차" xfId="439" xr:uid="{00000000-0005-0000-0000-0000BD010000}"/>
    <cellStyle name="t_Annex C-BOQ(Piping-General)_Annex C-BOQ(Piping-General)-1_수행계획서" xfId="440" xr:uid="{00000000-0005-0000-0000-0000BE010000}"/>
    <cellStyle name="t_Annex C-BOQ(Piping-General)_Annex C-BOQ(Piping-General)-1_수행계획서_Annex C-2 BOQ for Piping work" xfId="441" xr:uid="{00000000-0005-0000-0000-0000BF010000}"/>
    <cellStyle name="t_Annex C-BOQ(Piping-General)_Annex C-BOQ(Piping-General)-1_수행계획서_Annex C-2 BOQ for Piping work_오만기계배관공사 공도구 소모품 견적현황" xfId="442" xr:uid="{00000000-0005-0000-0000-0000C0010000}"/>
    <cellStyle name="t_Annex C-BOQ(Piping-General)_Annex C-BOQ(Piping-General)-1_수행계획서_Annex C-2 BOQ for Piping work_오만기계배관공사 공도구 소모품 견적현황-070412 - 2차" xfId="443" xr:uid="{00000000-0005-0000-0000-0000C1010000}"/>
    <cellStyle name="t_Annex C-BOQ(Piping-General)_Annex C-BOQ(Piping-General)-1_수행계획서_DIRECT COST-GENECON 1-B" xfId="444" xr:uid="{00000000-0005-0000-0000-0000C2010000}"/>
    <cellStyle name="t_Annex C-BOQ(Piping-General)_Annex C-BOQ(Piping-General)-1_수행계획서_DIRECT COST-GENECON 1-B_오만기계배관공사 공도구 소모품 견적현황" xfId="445" xr:uid="{00000000-0005-0000-0000-0000C3010000}"/>
    <cellStyle name="t_Annex C-BOQ(Piping-General)_Annex C-BOQ(Piping-General)-1_수행계획서_DIRECT COST-GENECON 1-B_오만기계배관공사 공도구 소모품 견적현황-070412 - 2차" xfId="446" xr:uid="{00000000-0005-0000-0000-0000C4010000}"/>
    <cellStyle name="t_Annex C-BOQ(Piping-General)_Annex C-BOQ(Piping-General)-1_수행계획서_SCHDULE 양식" xfId="447" xr:uid="{00000000-0005-0000-0000-0000C5010000}"/>
    <cellStyle name="t_Annex C-BOQ(Piping-General)_Annex C-BOQ(Piping-General)-1_수행계획서_SCHDULE 양식_Annex C-2 BOQ for Piping work" xfId="448" xr:uid="{00000000-0005-0000-0000-0000C6010000}"/>
    <cellStyle name="t_Annex C-BOQ(Piping-General)_Annex C-BOQ(Piping-General)-1_수행계획서_SCHDULE 양식_Annex C-2 BOQ for Piping work_오만기계배관공사 공도구 소모품 견적현황" xfId="449" xr:uid="{00000000-0005-0000-0000-0000C7010000}"/>
    <cellStyle name="t_Annex C-BOQ(Piping-General)_Annex C-BOQ(Piping-General)-1_수행계획서_SCHDULE 양식_Annex C-2 BOQ for Piping work_오만기계배관공사 공도구 소모품 견적현황-070412 - 2차" xfId="450" xr:uid="{00000000-0005-0000-0000-0000C8010000}"/>
    <cellStyle name="t_Annex C-BOQ(Piping-General)_Annex C-BOQ(Piping-General)-1_수행계획서_SCHDULE 양식_DIRECT COST-GENECON 1-B" xfId="451" xr:uid="{00000000-0005-0000-0000-0000C9010000}"/>
    <cellStyle name="t_Annex C-BOQ(Piping-General)_Annex C-BOQ(Piping-General)-1_수행계획서_SCHDULE 양식_DIRECT COST-GENECON 1-B_오만기계배관공사 공도구 소모품 견적현황" xfId="452" xr:uid="{00000000-0005-0000-0000-0000CA010000}"/>
    <cellStyle name="t_Annex C-BOQ(Piping-General)_Annex C-BOQ(Piping-General)-1_수행계획서_SCHDULE 양식_DIRECT COST-GENECON 1-B_오만기계배관공사 공도구 소모품 견적현황-070412 - 2차" xfId="453" xr:uid="{00000000-0005-0000-0000-0000CB010000}"/>
    <cellStyle name="t_Annex C-BOQ(Piping-General)_Annex C-BOQ(Piping-General)-1_수행계획서_SCHDULE 양식_견적서-QP LAB PROJECT(GENECON 1-A) BASE-4632(최종)" xfId="454" xr:uid="{00000000-0005-0000-0000-0000CC010000}"/>
    <cellStyle name="t_Annex C-BOQ(Piping-General)_Annex C-BOQ(Piping-General)-1_수행계획서_SCHDULE 양식_견적서-QP LAB PROJECT(GENECON 1-A) BASE-4632(최종)_오만기계배관공사 공도구 소모품 견적현황" xfId="455" xr:uid="{00000000-0005-0000-0000-0000CD010000}"/>
    <cellStyle name="t_Annex C-BOQ(Piping-General)_Annex C-BOQ(Piping-General)-1_수행계획서_SCHDULE 양식_견적서-QP LAB PROJECT(GENECON 1-A) BASE-4632(최종)_오만기계배관공사 공도구 소모품 견적현황-070412 - 2차" xfId="456" xr:uid="{00000000-0005-0000-0000-0000CE010000}"/>
    <cellStyle name="t_Annex C-BOQ(Piping-General)_Annex C-BOQ(Piping-General)-1_수행계획서_SCHDULE 양식_공사수행계획서 GC-19" xfId="457" xr:uid="{00000000-0005-0000-0000-0000CF010000}"/>
    <cellStyle name="t_Annex C-BOQ(Piping-General)_Annex C-BOQ(Piping-General)-1_수행계획서_SCHDULE 양식_공사수행계획서 GC-19_오만기계배관공사 공도구 소모품 견적현황" xfId="458" xr:uid="{00000000-0005-0000-0000-0000D0010000}"/>
    <cellStyle name="t_Annex C-BOQ(Piping-General)_Annex C-BOQ(Piping-General)-1_수행계획서_SCHDULE 양식_공사수행계획서 GC-19_오만기계배관공사 공도구 소모품 견적현황-070412 - 2차" xfId="459" xr:uid="{00000000-0005-0000-0000-0000D1010000}"/>
    <cellStyle name="t_Annex C-BOQ(Piping-General)_Annex C-BOQ(Piping-General)-1_수행계획서_SCHDULE 양식_오만기계배관공사 공도구 소모품 견적현황" xfId="460" xr:uid="{00000000-0005-0000-0000-0000D2010000}"/>
    <cellStyle name="t_Annex C-BOQ(Piping-General)_Annex C-BOQ(Piping-General)-1_수행계획서_SCHDULE 양식_오만기계배관공사 공도구 소모품 견적현황-070412 - 2차" xfId="461" xr:uid="{00000000-0005-0000-0000-0000D3010000}"/>
    <cellStyle name="t_Annex C-BOQ(Piping-General)_Annex C-BOQ(Piping-General)-1_수행계획서_SCHDULE 양식_이력서" xfId="462" xr:uid="{00000000-0005-0000-0000-0000D4010000}"/>
    <cellStyle name="t_Annex C-BOQ(Piping-General)_Annex C-BOQ(Piping-General)-1_수행계획서_SCHDULE 양식_이력서_오만기계배관공사 공도구 소모품 견적현황" xfId="463" xr:uid="{00000000-0005-0000-0000-0000D5010000}"/>
    <cellStyle name="t_Annex C-BOQ(Piping-General)_Annex C-BOQ(Piping-General)-1_수행계획서_SCHDULE 양식_이력서_오만기계배관공사 공도구 소모품 견적현황-070412 - 2차" xfId="464" xr:uid="{00000000-0005-0000-0000-0000D6010000}"/>
    <cellStyle name="t_Annex C-BOQ(Piping-General)_Annex C-BOQ(Piping-General)-1_수행계획서_견적서-QP LAB PROJECT(GENECON 1-A) BASE-4632(최종)" xfId="465" xr:uid="{00000000-0005-0000-0000-0000D7010000}"/>
    <cellStyle name="t_Annex C-BOQ(Piping-General)_Annex C-BOQ(Piping-General)-1_수행계획서_견적서-QP LAB PROJECT(GENECON 1-A) BASE-4632(최종)_오만기계배관공사 공도구 소모품 견적현황" xfId="466" xr:uid="{00000000-0005-0000-0000-0000D8010000}"/>
    <cellStyle name="t_Annex C-BOQ(Piping-General)_Annex C-BOQ(Piping-General)-1_수행계획서_견적서-QP LAB PROJECT(GENECON 1-A) BASE-4632(최종)_오만기계배관공사 공도구 소모품 견적현황-070412 - 2차" xfId="467" xr:uid="{00000000-0005-0000-0000-0000D9010000}"/>
    <cellStyle name="t_Annex C-BOQ(Piping-General)_Annex C-BOQ(Piping-General)-1_수행계획서_공사수행계획서 GC-19" xfId="468" xr:uid="{00000000-0005-0000-0000-0000DA010000}"/>
    <cellStyle name="t_Annex C-BOQ(Piping-General)_Annex C-BOQ(Piping-General)-1_수행계획서_공사수행계획서 GC-19_오만기계배관공사 공도구 소모품 견적현황" xfId="469" xr:uid="{00000000-0005-0000-0000-0000DB010000}"/>
    <cellStyle name="t_Annex C-BOQ(Piping-General)_Annex C-BOQ(Piping-General)-1_수행계획서_공사수행계획서 GC-19_오만기계배관공사 공도구 소모품 견적현황-070412 - 2차" xfId="470" xr:uid="{00000000-0005-0000-0000-0000DC010000}"/>
    <cellStyle name="t_Annex C-BOQ(Piping-General)_Annex C-BOQ(Piping-General)-1_수행계획서_오만기계배관공사 공도구 소모품 견적현황" xfId="471" xr:uid="{00000000-0005-0000-0000-0000DD010000}"/>
    <cellStyle name="t_Annex C-BOQ(Piping-General)_Annex C-BOQ(Piping-General)-1_수행계획서_오만기계배관공사 공도구 소모품 견적현황-070412 - 2차" xfId="472" xr:uid="{00000000-0005-0000-0000-0000DE010000}"/>
    <cellStyle name="t_Annex C-BOQ(Piping-General)_Annex C-BOQ(Piping-General)-1_수행계획서_이력서" xfId="473" xr:uid="{00000000-0005-0000-0000-0000DF010000}"/>
    <cellStyle name="t_Annex C-BOQ(Piping-General)_Annex C-BOQ(Piping-General)-1_수행계획서_이력서_오만기계배관공사 공도구 소모품 견적현황" xfId="474" xr:uid="{00000000-0005-0000-0000-0000E0010000}"/>
    <cellStyle name="t_Annex C-BOQ(Piping-General)_Annex C-BOQ(Piping-General)-1_수행계획서_이력서_오만기계배관공사 공도구 소모품 견적현황-070412 - 2차" xfId="475" xr:uid="{00000000-0005-0000-0000-0000E1010000}"/>
    <cellStyle name="t_Annex C-BOQ(Piping-General)_Annex C-BOQ(Piping-General)-1_오만기계배관공사 공도구 소모품 견적현황" xfId="476" xr:uid="{00000000-0005-0000-0000-0000E2010000}"/>
    <cellStyle name="t_Annex C-BOQ(Piping-General)_Annex C-BOQ(Piping-General)-1_오만기계배관공사 공도구 소모품 견적현황-070412 - 2차" xfId="477" xr:uid="{00000000-0005-0000-0000-0000E3010000}"/>
    <cellStyle name="t_Annex C-BOQ(Piping-General)_Annex C-BOQ(Piping-General)-1_이력서" xfId="478" xr:uid="{00000000-0005-0000-0000-0000E4010000}"/>
    <cellStyle name="t_Annex C-BOQ(Piping-General)_Annex C-BOQ(Piping-General)-1_이력서_오만기계배관공사 공도구 소모품 견적현황" xfId="479" xr:uid="{00000000-0005-0000-0000-0000E5010000}"/>
    <cellStyle name="t_Annex C-BOQ(Piping-General)_Annex C-BOQ(Piping-General)-1_이력서_오만기계배관공사 공도구 소모품 견적현황-070412 - 2차" xfId="480" xr:uid="{00000000-0005-0000-0000-0000E6010000}"/>
    <cellStyle name="t_Annex C-BOQ(Piping-General)_Annex C-BOQ(Piping-General)-2" xfId="481" xr:uid="{00000000-0005-0000-0000-0000E7010000}"/>
    <cellStyle name="t_Annex C-BOQ(Piping-General)_Annex C-BOQ(Piping-General)-2_Annex C-2 BOQ for Piping work" xfId="482" xr:uid="{00000000-0005-0000-0000-0000E8010000}"/>
    <cellStyle name="t_Annex C-BOQ(Piping-General)_Annex C-BOQ(Piping-General)-2_Annex C-2 BOQ for Piping work_오만기계배관공사 공도구 소모품 견적현황" xfId="483" xr:uid="{00000000-0005-0000-0000-0000E9010000}"/>
    <cellStyle name="t_Annex C-BOQ(Piping-General)_Annex C-BOQ(Piping-General)-2_Annex C-2 BOQ for Piping work_오만기계배관공사 공도구 소모품 견적현황-070412 - 2차" xfId="484" xr:uid="{00000000-0005-0000-0000-0000EA010000}"/>
    <cellStyle name="t_Annex C-BOQ(Piping-General)_Annex C-BOQ(Piping-General)-2_Annex C-BOQ(Piping-General)" xfId="485" xr:uid="{00000000-0005-0000-0000-0000EB010000}"/>
    <cellStyle name="t_Annex C-BOQ(Piping-General)_Annex C-BOQ(Piping-General)-2_Annex C-BOQ(Piping-General)_Annex C-2 BOQ for Piping work" xfId="486" xr:uid="{00000000-0005-0000-0000-0000EC010000}"/>
    <cellStyle name="t_Annex C-BOQ(Piping-General)_Annex C-BOQ(Piping-General)-2_Annex C-BOQ(Piping-General)_Annex C-2 BOQ for Piping work_오만기계배관공사 공도구 소모품 견적현황" xfId="487" xr:uid="{00000000-0005-0000-0000-0000ED010000}"/>
    <cellStyle name="t_Annex C-BOQ(Piping-General)_Annex C-BOQ(Piping-General)-2_Annex C-BOQ(Piping-General)_Annex C-2 BOQ for Piping work_오만기계배관공사 공도구 소모품 견적현황-070412 - 2차" xfId="488" xr:uid="{00000000-0005-0000-0000-0000EE010000}"/>
    <cellStyle name="t_Annex C-BOQ(Piping-General)_Annex C-BOQ(Piping-General)-2_Annex C-BOQ(Piping-General)_DIRECT COST-GENECON 1-B" xfId="489" xr:uid="{00000000-0005-0000-0000-0000EF010000}"/>
    <cellStyle name="t_Annex C-BOQ(Piping-General)_Annex C-BOQ(Piping-General)-2_Annex C-BOQ(Piping-General)_DIRECT COST-GENECON 1-B_오만기계배관공사 공도구 소모품 견적현황" xfId="490" xr:uid="{00000000-0005-0000-0000-0000F0010000}"/>
    <cellStyle name="t_Annex C-BOQ(Piping-General)_Annex C-BOQ(Piping-General)-2_Annex C-BOQ(Piping-General)_DIRECT COST-GENECON 1-B_오만기계배관공사 공도구 소모품 견적현황-070412 - 2차" xfId="491" xr:uid="{00000000-0005-0000-0000-0000F1010000}"/>
    <cellStyle name="t_Annex C-BOQ(Piping-General)_Annex C-BOQ(Piping-General)-2_Annex C-BOQ(Piping-General)_SCHDULE 양식" xfId="492" xr:uid="{00000000-0005-0000-0000-0000F2010000}"/>
    <cellStyle name="t_Annex C-BOQ(Piping-General)_Annex C-BOQ(Piping-General)-2_Annex C-BOQ(Piping-General)_SCHDULE 양식_Annex C-2 BOQ for Piping work" xfId="493" xr:uid="{00000000-0005-0000-0000-0000F3010000}"/>
    <cellStyle name="t_Annex C-BOQ(Piping-General)_Annex C-BOQ(Piping-General)-2_Annex C-BOQ(Piping-General)_SCHDULE 양식_Annex C-2 BOQ for Piping work_오만기계배관공사 공도구 소모품 견적현황" xfId="494" xr:uid="{00000000-0005-0000-0000-0000F4010000}"/>
    <cellStyle name="t_Annex C-BOQ(Piping-General)_Annex C-BOQ(Piping-General)-2_Annex C-BOQ(Piping-General)_SCHDULE 양식_Annex C-2 BOQ for Piping work_오만기계배관공사 공도구 소모품 견적현황-070412 - 2차" xfId="495" xr:uid="{00000000-0005-0000-0000-0000F5010000}"/>
    <cellStyle name="t_Annex C-BOQ(Piping-General)_Annex C-BOQ(Piping-General)-2_Annex C-BOQ(Piping-General)_SCHDULE 양식_DIRECT COST-GENECON 1-B" xfId="496" xr:uid="{00000000-0005-0000-0000-0000F6010000}"/>
    <cellStyle name="t_Annex C-BOQ(Piping-General)_Annex C-BOQ(Piping-General)-2_Annex C-BOQ(Piping-General)_SCHDULE 양식_DIRECT COST-GENECON 1-B_오만기계배관공사 공도구 소모품 견적현황" xfId="497" xr:uid="{00000000-0005-0000-0000-0000F7010000}"/>
    <cellStyle name="t_Annex C-BOQ(Piping-General)_Annex C-BOQ(Piping-General)-2_Annex C-BOQ(Piping-General)_SCHDULE 양식_DIRECT COST-GENECON 1-B_오만기계배관공사 공도구 소모품 견적현황-070412 - 2차" xfId="498" xr:uid="{00000000-0005-0000-0000-0000F8010000}"/>
    <cellStyle name="t_Annex C-BOQ(Piping-General)_Annex C-BOQ(Piping-General)-2_Annex C-BOQ(Piping-General)_SCHDULE 양식_견적서-QP LAB PROJECT(GENECON 1-A) BASE-4632(최종)" xfId="499" xr:uid="{00000000-0005-0000-0000-0000F9010000}"/>
    <cellStyle name="t_Annex C-BOQ(Piping-General)_Annex C-BOQ(Piping-General)-2_Annex C-BOQ(Piping-General)_SCHDULE 양식_견적서-QP LAB PROJECT(GENECON 1-A) BASE-4632(최종)_오만기계배관공사 공도구 소모품 견적현황" xfId="500" xr:uid="{00000000-0005-0000-0000-0000FA010000}"/>
    <cellStyle name="t_Annex C-BOQ(Piping-General)_Annex C-BOQ(Piping-General)-2_Annex C-BOQ(Piping-General)_SCHDULE 양식_견적서-QP LAB PROJECT(GENECON 1-A) BASE-4632(최종)_오만기계배관공사 공도구 소모품 견적현황-070412 - 2차" xfId="501" xr:uid="{00000000-0005-0000-0000-0000FB010000}"/>
    <cellStyle name="t_Annex C-BOQ(Piping-General)_Annex C-BOQ(Piping-General)-2_Annex C-BOQ(Piping-General)_SCHDULE 양식_공사수행계획서 GC-19" xfId="502" xr:uid="{00000000-0005-0000-0000-0000FC010000}"/>
    <cellStyle name="t_Annex C-BOQ(Piping-General)_Annex C-BOQ(Piping-General)-2_Annex C-BOQ(Piping-General)_SCHDULE 양식_공사수행계획서 GC-19_오만기계배관공사 공도구 소모품 견적현황" xfId="503" xr:uid="{00000000-0005-0000-0000-0000FD010000}"/>
    <cellStyle name="t_Annex C-BOQ(Piping-General)_Annex C-BOQ(Piping-General)-2_Annex C-BOQ(Piping-General)_SCHDULE 양식_공사수행계획서 GC-19_오만기계배관공사 공도구 소모품 견적현황-070412 - 2차" xfId="504" xr:uid="{00000000-0005-0000-0000-0000FE010000}"/>
    <cellStyle name="t_Annex C-BOQ(Piping-General)_Annex C-BOQ(Piping-General)-2_Annex C-BOQ(Piping-General)_SCHDULE 양식_오만기계배관공사 공도구 소모품 견적현황" xfId="505" xr:uid="{00000000-0005-0000-0000-0000FF010000}"/>
    <cellStyle name="t_Annex C-BOQ(Piping-General)_Annex C-BOQ(Piping-General)-2_Annex C-BOQ(Piping-General)_SCHDULE 양식_오만기계배관공사 공도구 소모품 견적현황-070412 - 2차" xfId="506" xr:uid="{00000000-0005-0000-0000-000000020000}"/>
    <cellStyle name="t_Annex C-BOQ(Piping-General)_Annex C-BOQ(Piping-General)-2_Annex C-BOQ(Piping-General)_SCHDULE 양식_이력서" xfId="507" xr:uid="{00000000-0005-0000-0000-000001020000}"/>
    <cellStyle name="t_Annex C-BOQ(Piping-General)_Annex C-BOQ(Piping-General)-2_Annex C-BOQ(Piping-General)_SCHDULE 양식_이력서_오만기계배관공사 공도구 소모품 견적현황" xfId="508" xr:uid="{00000000-0005-0000-0000-000002020000}"/>
    <cellStyle name="t_Annex C-BOQ(Piping-General)_Annex C-BOQ(Piping-General)-2_Annex C-BOQ(Piping-General)_SCHDULE 양식_이력서_오만기계배관공사 공도구 소모품 견적현황-070412 - 2차" xfId="509" xr:uid="{00000000-0005-0000-0000-000003020000}"/>
    <cellStyle name="t_Annex C-BOQ(Piping-General)_Annex C-BOQ(Piping-General)-2_Annex C-BOQ(Piping-General)_견적서-QP LAB PROJECT(GENECON 1-A) BASE-4632(최종)" xfId="510" xr:uid="{00000000-0005-0000-0000-000004020000}"/>
    <cellStyle name="t_Annex C-BOQ(Piping-General)_Annex C-BOQ(Piping-General)-2_Annex C-BOQ(Piping-General)_견적서-QP LAB PROJECT(GENECON 1-A) BASE-4632(최종)_오만기계배관공사 공도구 소모품 견적현황" xfId="511" xr:uid="{00000000-0005-0000-0000-000005020000}"/>
    <cellStyle name="t_Annex C-BOQ(Piping-General)_Annex C-BOQ(Piping-General)-2_Annex C-BOQ(Piping-General)_견적서-QP LAB PROJECT(GENECON 1-A) BASE-4632(최종)_오만기계배관공사 공도구 소모품 견적현황-070412 - 2차" xfId="512" xr:uid="{00000000-0005-0000-0000-000006020000}"/>
    <cellStyle name="t_Annex C-BOQ(Piping-General)_Annex C-BOQ(Piping-General)-2_Annex C-BOQ(Piping-General)_공사수행계획서 GC-19" xfId="513" xr:uid="{00000000-0005-0000-0000-000007020000}"/>
    <cellStyle name="t_Annex C-BOQ(Piping-General)_Annex C-BOQ(Piping-General)-2_Annex C-BOQ(Piping-General)_공사수행계획서 GC-19_오만기계배관공사 공도구 소모품 견적현황" xfId="514" xr:uid="{00000000-0005-0000-0000-000008020000}"/>
    <cellStyle name="t_Annex C-BOQ(Piping-General)_Annex C-BOQ(Piping-General)-2_Annex C-BOQ(Piping-General)_공사수행계획서 GC-19_오만기계배관공사 공도구 소모품 견적현황-070412 - 2차" xfId="515" xr:uid="{00000000-0005-0000-0000-000009020000}"/>
    <cellStyle name="t_Annex C-BOQ(Piping-General)_Annex C-BOQ(Piping-General)-2_Annex C-BOQ(Piping-General)_오만기계배관공사 공도구 소모품 견적현황" xfId="516" xr:uid="{00000000-0005-0000-0000-00000A020000}"/>
    <cellStyle name="t_Annex C-BOQ(Piping-General)_Annex C-BOQ(Piping-General)-2_Annex C-BOQ(Piping-General)_오만기계배관공사 공도구 소모품 견적현황-070412 - 2차" xfId="517" xr:uid="{00000000-0005-0000-0000-00000B020000}"/>
    <cellStyle name="t_Annex C-BOQ(Piping-General)_Annex C-BOQ(Piping-General)-2_Annex C-BOQ(Piping-General)_이력서" xfId="518" xr:uid="{00000000-0005-0000-0000-00000C020000}"/>
    <cellStyle name="t_Annex C-BOQ(Piping-General)_Annex C-BOQ(Piping-General)-2_Annex C-BOQ(Piping-General)_이력서_오만기계배관공사 공도구 소모품 견적현황" xfId="519" xr:uid="{00000000-0005-0000-0000-00000D020000}"/>
    <cellStyle name="t_Annex C-BOQ(Piping-General)_Annex C-BOQ(Piping-General)-2_Annex C-BOQ(Piping-General)_이력서_오만기계배관공사 공도구 소모품 견적현황-070412 - 2차" xfId="520" xr:uid="{00000000-0005-0000-0000-00000E020000}"/>
    <cellStyle name="t_Annex C-BOQ(Piping-General)_Annex C-BOQ(Piping-General)-2_DIRECT COST-GENECON 1-B" xfId="521" xr:uid="{00000000-0005-0000-0000-00000F020000}"/>
    <cellStyle name="t_Annex C-BOQ(Piping-General)_Annex C-BOQ(Piping-General)-2_DIRECT COST-GENECON 1-B_오만기계배관공사 공도구 소모품 견적현황" xfId="522" xr:uid="{00000000-0005-0000-0000-000010020000}"/>
    <cellStyle name="t_Annex C-BOQ(Piping-General)_Annex C-BOQ(Piping-General)-2_DIRECT COST-GENECON 1-B_오만기계배관공사 공도구 소모품 견적현황-070412 - 2차" xfId="523" xr:uid="{00000000-0005-0000-0000-000011020000}"/>
    <cellStyle name="t_Annex C-BOQ(Piping-General)_Annex C-BOQ(Piping-General)-2_SCHDULE 양식" xfId="524" xr:uid="{00000000-0005-0000-0000-000012020000}"/>
    <cellStyle name="t_Annex C-BOQ(Piping-General)_Annex C-BOQ(Piping-General)-2_SCHDULE 양식_Annex C-2 BOQ for Piping work" xfId="525" xr:uid="{00000000-0005-0000-0000-000013020000}"/>
    <cellStyle name="t_Annex C-BOQ(Piping-General)_Annex C-BOQ(Piping-General)-2_SCHDULE 양식_Annex C-2 BOQ for Piping work_오만기계배관공사 공도구 소모품 견적현황" xfId="526" xr:uid="{00000000-0005-0000-0000-000014020000}"/>
    <cellStyle name="t_Annex C-BOQ(Piping-General)_Annex C-BOQ(Piping-General)-2_SCHDULE 양식_Annex C-2 BOQ for Piping work_오만기계배관공사 공도구 소모품 견적현황-070412 - 2차" xfId="527" xr:uid="{00000000-0005-0000-0000-000015020000}"/>
    <cellStyle name="t_Annex C-BOQ(Piping-General)_Annex C-BOQ(Piping-General)-2_SCHDULE 양식_DIRECT COST-GENECON 1-B" xfId="528" xr:uid="{00000000-0005-0000-0000-000016020000}"/>
    <cellStyle name="t_Annex C-BOQ(Piping-General)_Annex C-BOQ(Piping-General)-2_SCHDULE 양식_DIRECT COST-GENECON 1-B_오만기계배관공사 공도구 소모품 견적현황" xfId="529" xr:uid="{00000000-0005-0000-0000-000017020000}"/>
    <cellStyle name="t_Annex C-BOQ(Piping-General)_Annex C-BOQ(Piping-General)-2_SCHDULE 양식_DIRECT COST-GENECON 1-B_오만기계배관공사 공도구 소모품 견적현황-070412 - 2차" xfId="530" xr:uid="{00000000-0005-0000-0000-000018020000}"/>
    <cellStyle name="t_Annex C-BOQ(Piping-General)_Annex C-BOQ(Piping-General)-2_SCHDULE 양식_견적서-QP LAB PROJECT(GENECON 1-A) BASE-4632(최종)" xfId="531" xr:uid="{00000000-0005-0000-0000-000019020000}"/>
    <cellStyle name="t_Annex C-BOQ(Piping-General)_Annex C-BOQ(Piping-General)-2_SCHDULE 양식_견적서-QP LAB PROJECT(GENECON 1-A) BASE-4632(최종)_오만기계배관공사 공도구 소모품 견적현황" xfId="532" xr:uid="{00000000-0005-0000-0000-00001A020000}"/>
    <cellStyle name="t_Annex C-BOQ(Piping-General)_Annex C-BOQ(Piping-General)-2_SCHDULE 양식_견적서-QP LAB PROJECT(GENECON 1-A) BASE-4632(최종)_오만기계배관공사 공도구 소모품 견적현황-070412 - 2차" xfId="533" xr:uid="{00000000-0005-0000-0000-00001B020000}"/>
    <cellStyle name="t_Annex C-BOQ(Piping-General)_Annex C-BOQ(Piping-General)-2_SCHDULE 양식_공사수행계획서 GC-19" xfId="534" xr:uid="{00000000-0005-0000-0000-00001C020000}"/>
    <cellStyle name="t_Annex C-BOQ(Piping-General)_Annex C-BOQ(Piping-General)-2_SCHDULE 양식_공사수행계획서 GC-19_오만기계배관공사 공도구 소모품 견적현황" xfId="535" xr:uid="{00000000-0005-0000-0000-00001D020000}"/>
    <cellStyle name="t_Annex C-BOQ(Piping-General)_Annex C-BOQ(Piping-General)-2_SCHDULE 양식_공사수행계획서 GC-19_오만기계배관공사 공도구 소모품 견적현황-070412 - 2차" xfId="536" xr:uid="{00000000-0005-0000-0000-00001E020000}"/>
    <cellStyle name="t_Annex C-BOQ(Piping-General)_Annex C-BOQ(Piping-General)-2_SCHDULE 양식_오만기계배관공사 공도구 소모품 견적현황" xfId="537" xr:uid="{00000000-0005-0000-0000-00001F020000}"/>
    <cellStyle name="t_Annex C-BOQ(Piping-General)_Annex C-BOQ(Piping-General)-2_SCHDULE 양식_오만기계배관공사 공도구 소모품 견적현황-070412 - 2차" xfId="538" xr:uid="{00000000-0005-0000-0000-000020020000}"/>
    <cellStyle name="t_Annex C-BOQ(Piping-General)_Annex C-BOQ(Piping-General)-2_SCHDULE 양식_이력서" xfId="539" xr:uid="{00000000-0005-0000-0000-000021020000}"/>
    <cellStyle name="t_Annex C-BOQ(Piping-General)_Annex C-BOQ(Piping-General)-2_SCHDULE 양식_이력서_오만기계배관공사 공도구 소모품 견적현황" xfId="540" xr:uid="{00000000-0005-0000-0000-000022020000}"/>
    <cellStyle name="t_Annex C-BOQ(Piping-General)_Annex C-BOQ(Piping-General)-2_SCHDULE 양식_이력서_오만기계배관공사 공도구 소모품 견적현황-070412 - 2차" xfId="541" xr:uid="{00000000-0005-0000-0000-000023020000}"/>
    <cellStyle name="t_Annex C-BOQ(Piping-General)_Annex C-BOQ(Piping-General)-2_견적서-QP LAB PROJECT(GENECON 1-A) BASE-4632(최종)" xfId="542" xr:uid="{00000000-0005-0000-0000-000024020000}"/>
    <cellStyle name="t_Annex C-BOQ(Piping-General)_Annex C-BOQ(Piping-General)-2_견적서-QP LAB PROJECT(GENECON 1-A) BASE-4632(최종)_오만기계배관공사 공도구 소모품 견적현황" xfId="543" xr:uid="{00000000-0005-0000-0000-000025020000}"/>
    <cellStyle name="t_Annex C-BOQ(Piping-General)_Annex C-BOQ(Piping-General)-2_견적서-QP LAB PROJECT(GENECON 1-A) BASE-4632(최종)_오만기계배관공사 공도구 소모품 견적현황-070412 - 2차" xfId="544" xr:uid="{00000000-0005-0000-0000-000026020000}"/>
    <cellStyle name="t_Annex C-BOQ(Piping-General)_Annex C-BOQ(Piping-General)-2_공사수행계획서 GC-19" xfId="545" xr:uid="{00000000-0005-0000-0000-000027020000}"/>
    <cellStyle name="t_Annex C-BOQ(Piping-General)_Annex C-BOQ(Piping-General)-2_공사수행계획서 GC-19_오만기계배관공사 공도구 소모품 견적현황" xfId="546" xr:uid="{00000000-0005-0000-0000-000028020000}"/>
    <cellStyle name="t_Annex C-BOQ(Piping-General)_Annex C-BOQ(Piping-General)-2_공사수행계획서 GC-19_오만기계배관공사 공도구 소모품 견적현황-070412 - 2차" xfId="547" xr:uid="{00000000-0005-0000-0000-000029020000}"/>
    <cellStyle name="t_Annex C-BOQ(Piping-General)_Annex C-BOQ(Piping-General)-2_오만기계배관공사 공도구 소모품 견적현황" xfId="548" xr:uid="{00000000-0005-0000-0000-00002A020000}"/>
    <cellStyle name="t_Annex C-BOQ(Piping-General)_Annex C-BOQ(Piping-General)-2_오만기계배관공사 공도구 소모품 견적현황-070412 - 2차" xfId="549" xr:uid="{00000000-0005-0000-0000-00002B020000}"/>
    <cellStyle name="t_Annex C-BOQ(Piping-General)_Annex C-BOQ(Piping-General)-2_이력서" xfId="550" xr:uid="{00000000-0005-0000-0000-00002C020000}"/>
    <cellStyle name="t_Annex C-BOQ(Piping-General)_Annex C-BOQ(Piping-General)-2_이력서_오만기계배관공사 공도구 소모품 견적현황" xfId="551" xr:uid="{00000000-0005-0000-0000-00002D020000}"/>
    <cellStyle name="t_Annex C-BOQ(Piping-General)_Annex C-BOQ(Piping-General)-2_이력서_오만기계배관공사 공도구 소모품 견적현황-070412 - 2차" xfId="552" xr:uid="{00000000-0005-0000-0000-00002E020000}"/>
    <cellStyle name="t_Annex C-BOQ(Piping-General)_Book1" xfId="553" xr:uid="{00000000-0005-0000-0000-00002F020000}"/>
    <cellStyle name="t_Annex C-BOQ(Piping-General)_Book1_Annex C-2 BOQ for Piping work" xfId="554" xr:uid="{00000000-0005-0000-0000-000030020000}"/>
    <cellStyle name="t_Annex C-BOQ(Piping-General)_Book1_Annex C-2 BOQ for Piping work_오만기계배관공사 공도구 소모품 견적현황" xfId="555" xr:uid="{00000000-0005-0000-0000-000031020000}"/>
    <cellStyle name="t_Annex C-BOQ(Piping-General)_Book1_Annex C-2 BOQ for Piping work_오만기계배관공사 공도구 소모품 견적현황-070412 - 2차" xfId="556" xr:uid="{00000000-0005-0000-0000-000032020000}"/>
    <cellStyle name="t_Annex C-BOQ(Piping-General)_Book1_DIRECT COST-GENECON 1-B" xfId="557" xr:uid="{00000000-0005-0000-0000-000033020000}"/>
    <cellStyle name="t_Annex C-BOQ(Piping-General)_Book1_DIRECT COST-GENECON 1-B_오만기계배관공사 공도구 소모품 견적현황" xfId="558" xr:uid="{00000000-0005-0000-0000-000034020000}"/>
    <cellStyle name="t_Annex C-BOQ(Piping-General)_Book1_DIRECT COST-GENECON 1-B_오만기계배관공사 공도구 소모품 견적현황-070412 - 2차" xfId="559" xr:uid="{00000000-0005-0000-0000-000035020000}"/>
    <cellStyle name="t_Annex C-BOQ(Piping-General)_Book1_SCHDULE 양식" xfId="560" xr:uid="{00000000-0005-0000-0000-000036020000}"/>
    <cellStyle name="t_Annex C-BOQ(Piping-General)_Book1_SCHDULE 양식_Annex C-2 BOQ for Piping work" xfId="561" xr:uid="{00000000-0005-0000-0000-000037020000}"/>
    <cellStyle name="t_Annex C-BOQ(Piping-General)_Book1_SCHDULE 양식_Annex C-2 BOQ for Piping work_오만기계배관공사 공도구 소모품 견적현황" xfId="562" xr:uid="{00000000-0005-0000-0000-000038020000}"/>
    <cellStyle name="t_Annex C-BOQ(Piping-General)_Book1_SCHDULE 양식_Annex C-2 BOQ for Piping work_오만기계배관공사 공도구 소모품 견적현황-070412 - 2차" xfId="563" xr:uid="{00000000-0005-0000-0000-000039020000}"/>
    <cellStyle name="t_Annex C-BOQ(Piping-General)_Book1_SCHDULE 양식_DIRECT COST-GENECON 1-B" xfId="564" xr:uid="{00000000-0005-0000-0000-00003A020000}"/>
    <cellStyle name="t_Annex C-BOQ(Piping-General)_Book1_SCHDULE 양식_DIRECT COST-GENECON 1-B_오만기계배관공사 공도구 소모품 견적현황" xfId="565" xr:uid="{00000000-0005-0000-0000-00003B020000}"/>
    <cellStyle name="t_Annex C-BOQ(Piping-General)_Book1_SCHDULE 양식_DIRECT COST-GENECON 1-B_오만기계배관공사 공도구 소모품 견적현황-070412 - 2차" xfId="566" xr:uid="{00000000-0005-0000-0000-00003C020000}"/>
    <cellStyle name="t_Annex C-BOQ(Piping-General)_Book1_SCHDULE 양식_견적서-QP LAB PROJECT(GENECON 1-A) BASE-4632(최종)" xfId="567" xr:uid="{00000000-0005-0000-0000-00003D020000}"/>
    <cellStyle name="t_Annex C-BOQ(Piping-General)_Book1_SCHDULE 양식_견적서-QP LAB PROJECT(GENECON 1-A) BASE-4632(최종)_오만기계배관공사 공도구 소모품 견적현황" xfId="568" xr:uid="{00000000-0005-0000-0000-00003E020000}"/>
    <cellStyle name="t_Annex C-BOQ(Piping-General)_Book1_SCHDULE 양식_견적서-QP LAB PROJECT(GENECON 1-A) BASE-4632(최종)_오만기계배관공사 공도구 소모품 견적현황-070412 - 2차" xfId="569" xr:uid="{00000000-0005-0000-0000-00003F020000}"/>
    <cellStyle name="t_Annex C-BOQ(Piping-General)_Book1_SCHDULE 양식_공사수행계획서 GC-19" xfId="570" xr:uid="{00000000-0005-0000-0000-000040020000}"/>
    <cellStyle name="t_Annex C-BOQ(Piping-General)_Book1_SCHDULE 양식_공사수행계획서 GC-19_오만기계배관공사 공도구 소모품 견적현황" xfId="571" xr:uid="{00000000-0005-0000-0000-000041020000}"/>
    <cellStyle name="t_Annex C-BOQ(Piping-General)_Book1_SCHDULE 양식_공사수행계획서 GC-19_오만기계배관공사 공도구 소모품 견적현황-070412 - 2차" xfId="572" xr:uid="{00000000-0005-0000-0000-000042020000}"/>
    <cellStyle name="t_Annex C-BOQ(Piping-General)_Book1_SCHDULE 양식_오만기계배관공사 공도구 소모품 견적현황" xfId="573" xr:uid="{00000000-0005-0000-0000-000043020000}"/>
    <cellStyle name="t_Annex C-BOQ(Piping-General)_Book1_SCHDULE 양식_오만기계배관공사 공도구 소모품 견적현황-070412 - 2차" xfId="574" xr:uid="{00000000-0005-0000-0000-000044020000}"/>
    <cellStyle name="t_Annex C-BOQ(Piping-General)_Book1_SCHDULE 양식_이력서" xfId="575" xr:uid="{00000000-0005-0000-0000-000045020000}"/>
    <cellStyle name="t_Annex C-BOQ(Piping-General)_Book1_SCHDULE 양식_이력서_오만기계배관공사 공도구 소모품 견적현황" xfId="576" xr:uid="{00000000-0005-0000-0000-000046020000}"/>
    <cellStyle name="t_Annex C-BOQ(Piping-General)_Book1_SCHDULE 양식_이력서_오만기계배관공사 공도구 소모품 견적현황-070412 - 2차" xfId="577" xr:uid="{00000000-0005-0000-0000-000047020000}"/>
    <cellStyle name="t_Annex C-BOQ(Piping-General)_Book1_견적서-QP LAB PROJECT(GENECON 1-A) BASE-4632(최종)" xfId="578" xr:uid="{00000000-0005-0000-0000-000048020000}"/>
    <cellStyle name="t_Annex C-BOQ(Piping-General)_Book1_견적서-QP LAB PROJECT(GENECON 1-A) BASE-4632(최종)_오만기계배관공사 공도구 소모품 견적현황" xfId="579" xr:uid="{00000000-0005-0000-0000-000049020000}"/>
    <cellStyle name="t_Annex C-BOQ(Piping-General)_Book1_견적서-QP LAB PROJECT(GENECON 1-A) BASE-4632(최종)_오만기계배관공사 공도구 소모품 견적현황-070412 - 2차" xfId="580" xr:uid="{00000000-0005-0000-0000-00004A020000}"/>
    <cellStyle name="t_Annex C-BOQ(Piping-General)_Book1_공사수행계획서" xfId="581" xr:uid="{00000000-0005-0000-0000-00004B020000}"/>
    <cellStyle name="t_Annex C-BOQ(Piping-General)_Book1_공사수행계획서 GC-19" xfId="582" xr:uid="{00000000-0005-0000-0000-00004C020000}"/>
    <cellStyle name="t_Annex C-BOQ(Piping-General)_Book1_공사수행계획서 GC-19_오만기계배관공사 공도구 소모품 견적현황" xfId="583" xr:uid="{00000000-0005-0000-0000-00004D020000}"/>
    <cellStyle name="t_Annex C-BOQ(Piping-General)_Book1_공사수행계획서 GC-19_오만기계배관공사 공도구 소모품 견적현황-070412 - 2차" xfId="584" xr:uid="{00000000-0005-0000-0000-00004E020000}"/>
    <cellStyle name="t_Annex C-BOQ(Piping-General)_Book1_공사수행계획서_오만기계배관공사 공도구 소모품 견적현황" xfId="585" xr:uid="{00000000-0005-0000-0000-00004F020000}"/>
    <cellStyle name="t_Annex C-BOQ(Piping-General)_Book1_공사수행계획서_오만기계배관공사 공도구 소모품 견적현황-070412 - 2차" xfId="586" xr:uid="{00000000-0005-0000-0000-000050020000}"/>
    <cellStyle name="t_Annex C-BOQ(Piping-General)_Book1_오만기계배관공사 공도구 소모품 견적현황" xfId="587" xr:uid="{00000000-0005-0000-0000-000051020000}"/>
    <cellStyle name="t_Annex C-BOQ(Piping-General)_Book1_오만기계배관공사 공도구 소모품 견적현황-070412 - 2차" xfId="588" xr:uid="{00000000-0005-0000-0000-000052020000}"/>
    <cellStyle name="t_Annex C-BOQ(Piping-General)_Book1_이력서" xfId="589" xr:uid="{00000000-0005-0000-0000-000053020000}"/>
    <cellStyle name="t_Annex C-BOQ(Piping-General)_Book1_이력서_오만기계배관공사 공도구 소모품 견적현황" xfId="590" xr:uid="{00000000-0005-0000-0000-000054020000}"/>
    <cellStyle name="t_Annex C-BOQ(Piping-General)_Book1_이력서_오만기계배관공사 공도구 소모품 견적현황-070412 - 2차" xfId="591" xr:uid="{00000000-0005-0000-0000-000055020000}"/>
    <cellStyle name="t_Annex C-BOQ(Piping-General)_DIRECT COST-GENECON 1-B" xfId="592" xr:uid="{00000000-0005-0000-0000-000056020000}"/>
    <cellStyle name="t_Annex C-BOQ(Piping-General)_DIRECT COST-GENECON 1-B_오만기계배관공사 공도구 소모품 견적현황" xfId="593" xr:uid="{00000000-0005-0000-0000-000057020000}"/>
    <cellStyle name="t_Annex C-BOQ(Piping-General)_DIRECT COST-GENECON 1-B_오만기계배관공사 공도구 소모품 견적현황-070412 - 2차" xfId="594" xr:uid="{00000000-0005-0000-0000-000058020000}"/>
    <cellStyle name="t_Annex C-BOQ(Piping-General)_SCHDULE 양식" xfId="595" xr:uid="{00000000-0005-0000-0000-000059020000}"/>
    <cellStyle name="t_Annex C-BOQ(Piping-General)_SCHDULE 양식_Annex C-2 BOQ for Piping work" xfId="596" xr:uid="{00000000-0005-0000-0000-00005A020000}"/>
    <cellStyle name="t_Annex C-BOQ(Piping-General)_SCHDULE 양식_Annex C-2 BOQ for Piping work_오만기계배관공사 공도구 소모품 견적현황" xfId="597" xr:uid="{00000000-0005-0000-0000-00005B020000}"/>
    <cellStyle name="t_Annex C-BOQ(Piping-General)_SCHDULE 양식_Annex C-2 BOQ for Piping work_오만기계배관공사 공도구 소모품 견적현황-070412 - 2차" xfId="598" xr:uid="{00000000-0005-0000-0000-00005C020000}"/>
    <cellStyle name="t_Annex C-BOQ(Piping-General)_SCHDULE 양식_DIRECT COST-GENECON 1-B" xfId="599" xr:uid="{00000000-0005-0000-0000-00005D020000}"/>
    <cellStyle name="t_Annex C-BOQ(Piping-General)_SCHDULE 양식_DIRECT COST-GENECON 1-B_오만기계배관공사 공도구 소모품 견적현황" xfId="600" xr:uid="{00000000-0005-0000-0000-00005E020000}"/>
    <cellStyle name="t_Annex C-BOQ(Piping-General)_SCHDULE 양식_DIRECT COST-GENECON 1-B_오만기계배관공사 공도구 소모품 견적현황-070412 - 2차" xfId="601" xr:uid="{00000000-0005-0000-0000-00005F020000}"/>
    <cellStyle name="t_Annex C-BOQ(Piping-General)_SCHDULE 양식_견적서-QP LAB PROJECT(GENECON 1-A) BASE-4632(최종)" xfId="602" xr:uid="{00000000-0005-0000-0000-000060020000}"/>
    <cellStyle name="t_Annex C-BOQ(Piping-General)_SCHDULE 양식_견적서-QP LAB PROJECT(GENECON 1-A) BASE-4632(최종)_오만기계배관공사 공도구 소모품 견적현황" xfId="603" xr:uid="{00000000-0005-0000-0000-000061020000}"/>
    <cellStyle name="t_Annex C-BOQ(Piping-General)_SCHDULE 양식_견적서-QP LAB PROJECT(GENECON 1-A) BASE-4632(최종)_오만기계배관공사 공도구 소모품 견적현황-070412 - 2차" xfId="604" xr:uid="{00000000-0005-0000-0000-000062020000}"/>
    <cellStyle name="t_Annex C-BOQ(Piping-General)_SCHDULE 양식_공사수행계획서 GC-19" xfId="605" xr:uid="{00000000-0005-0000-0000-000063020000}"/>
    <cellStyle name="t_Annex C-BOQ(Piping-General)_SCHDULE 양식_공사수행계획서 GC-19_오만기계배관공사 공도구 소모품 견적현황" xfId="606" xr:uid="{00000000-0005-0000-0000-000064020000}"/>
    <cellStyle name="t_Annex C-BOQ(Piping-General)_SCHDULE 양식_공사수행계획서 GC-19_오만기계배관공사 공도구 소모품 견적현황-070412 - 2차" xfId="607" xr:uid="{00000000-0005-0000-0000-000065020000}"/>
    <cellStyle name="t_Annex C-BOQ(Piping-General)_SCHDULE 양식_오만기계배관공사 공도구 소모품 견적현황" xfId="608" xr:uid="{00000000-0005-0000-0000-000066020000}"/>
    <cellStyle name="t_Annex C-BOQ(Piping-General)_SCHDULE 양식_오만기계배관공사 공도구 소모품 견적현황-070412 - 2차" xfId="609" xr:uid="{00000000-0005-0000-0000-000067020000}"/>
    <cellStyle name="t_Annex C-BOQ(Piping-General)_SCHDULE 양식_이력서" xfId="610" xr:uid="{00000000-0005-0000-0000-000068020000}"/>
    <cellStyle name="t_Annex C-BOQ(Piping-General)_SCHDULE 양식_이력서_오만기계배관공사 공도구 소모품 견적현황" xfId="611" xr:uid="{00000000-0005-0000-0000-000069020000}"/>
    <cellStyle name="t_Annex C-BOQ(Piping-General)_SCHDULE 양식_이력서_오만기계배관공사 공도구 소모품 견적현황-070412 - 2차" xfId="612" xr:uid="{00000000-0005-0000-0000-00006A020000}"/>
    <cellStyle name="t_Annex C-BOQ(Piping-General)_견적서-QP LAB PROJECT(GENECON 1-A) BASE-4632(최종)" xfId="613" xr:uid="{00000000-0005-0000-0000-00006B020000}"/>
    <cellStyle name="t_Annex C-BOQ(Piping-General)_견적서-QP LAB PROJECT(GENECON 1-A) BASE-4632(최종)_오만기계배관공사 공도구 소모품 견적현황" xfId="614" xr:uid="{00000000-0005-0000-0000-00006C020000}"/>
    <cellStyle name="t_Annex C-BOQ(Piping-General)_견적서-QP LAB PROJECT(GENECON 1-A) BASE-4632(최종)_오만기계배관공사 공도구 소모품 견적현황-070412 - 2차" xfId="615" xr:uid="{00000000-0005-0000-0000-00006D020000}"/>
    <cellStyle name="t_Annex C-BOQ(Piping-General)_공사수행계획서" xfId="616" xr:uid="{00000000-0005-0000-0000-00006E020000}"/>
    <cellStyle name="t_Annex C-BOQ(Piping-General)_공사수행계획서 GC-19" xfId="617" xr:uid="{00000000-0005-0000-0000-00006F020000}"/>
    <cellStyle name="t_Annex C-BOQ(Piping-General)_공사수행계획서 GC-19_오만기계배관공사 공도구 소모품 견적현황" xfId="618" xr:uid="{00000000-0005-0000-0000-000070020000}"/>
    <cellStyle name="t_Annex C-BOQ(Piping-General)_공사수행계획서 GC-19_오만기계배관공사 공도구 소모품 견적현황-070412 - 2차" xfId="619" xr:uid="{00000000-0005-0000-0000-000071020000}"/>
    <cellStyle name="t_Annex C-BOQ(Piping-General)_공사수행계획서_오만기계배관공사 공도구 소모품 견적현황" xfId="620" xr:uid="{00000000-0005-0000-0000-000072020000}"/>
    <cellStyle name="t_Annex C-BOQ(Piping-General)_공사수행계획서_오만기계배관공사 공도구 소모품 견적현황-070412 - 2차" xfId="621" xr:uid="{00000000-0005-0000-0000-000073020000}"/>
    <cellStyle name="t_Annex C-BOQ(Piping-General)_오만기계배관공사 공도구 소모품 견적현황" xfId="622" xr:uid="{00000000-0005-0000-0000-000074020000}"/>
    <cellStyle name="t_Annex C-BOQ(Piping-General)_오만기계배관공사 공도구 소모품 견적현황-070412 - 2차" xfId="623" xr:uid="{00000000-0005-0000-0000-000075020000}"/>
    <cellStyle name="t_Annex C-BOQ(Piping-General)_이력서" xfId="624" xr:uid="{00000000-0005-0000-0000-000076020000}"/>
    <cellStyle name="t_Annex C-BOQ(Piping-General)_이력서_오만기계배관공사 공도구 소모품 견적현황" xfId="625" xr:uid="{00000000-0005-0000-0000-000077020000}"/>
    <cellStyle name="t_Annex C-BOQ(Piping-General)_이력서_오만기계배관공사 공도구 소모품 견적현황-070412 - 2차" xfId="626" xr:uid="{00000000-0005-0000-0000-000078020000}"/>
    <cellStyle name="t_Annex C-첨부 BOQ(Piping-General)" xfId="627" xr:uid="{00000000-0005-0000-0000-000079020000}"/>
    <cellStyle name="t_Annex C-첨부 BOQ(Piping-General)_Annex C-2 BOQ for Piping work" xfId="628" xr:uid="{00000000-0005-0000-0000-00007A020000}"/>
    <cellStyle name="t_Annex C-첨부 BOQ(Piping-General)_Annex C-2 BOQ for Piping work_오만기계배관공사 공도구 소모품 견적현황" xfId="629" xr:uid="{00000000-0005-0000-0000-00007B020000}"/>
    <cellStyle name="t_Annex C-첨부 BOQ(Piping-General)_Annex C-2 BOQ for Piping work_오만기계배관공사 공도구 소모품 견적현황-070412 - 2차" xfId="630" xr:uid="{00000000-0005-0000-0000-00007C020000}"/>
    <cellStyle name="t_Annex C-첨부 BOQ(Piping-General)_Annex C-BOQ(Piping-General)" xfId="631" xr:uid="{00000000-0005-0000-0000-00007D020000}"/>
    <cellStyle name="t_Annex C-첨부 BOQ(Piping-General)_Annex C-BOQ(Piping-General)_Annex C-2 BOQ for Piping work" xfId="632" xr:uid="{00000000-0005-0000-0000-00007E020000}"/>
    <cellStyle name="t_Annex C-첨부 BOQ(Piping-General)_Annex C-BOQ(Piping-General)_Annex C-2 BOQ for Piping work_오만기계배관공사 공도구 소모품 견적현황" xfId="633" xr:uid="{00000000-0005-0000-0000-00007F020000}"/>
    <cellStyle name="t_Annex C-첨부 BOQ(Piping-General)_Annex C-BOQ(Piping-General)_Annex C-2 BOQ for Piping work_오만기계배관공사 공도구 소모품 견적현황-070412 - 2차" xfId="634" xr:uid="{00000000-0005-0000-0000-000080020000}"/>
    <cellStyle name="t_Annex C-첨부 BOQ(Piping-General)_Annex C-BOQ(Piping-General)_Annex C-BOQ(Piping-General)" xfId="635" xr:uid="{00000000-0005-0000-0000-000081020000}"/>
    <cellStyle name="t_Annex C-첨부 BOQ(Piping-General)_Annex C-BOQ(Piping-General)_Annex C-BOQ(Piping-General)_Annex C-2 BOQ for Piping work" xfId="636" xr:uid="{00000000-0005-0000-0000-000082020000}"/>
    <cellStyle name="t_Annex C-첨부 BOQ(Piping-General)_Annex C-BOQ(Piping-General)_Annex C-BOQ(Piping-General)_Annex C-2 BOQ for Piping work_오만기계배관공사 공도구 소모품 견적현황" xfId="637" xr:uid="{00000000-0005-0000-0000-000083020000}"/>
    <cellStyle name="t_Annex C-첨부 BOQ(Piping-General)_Annex C-BOQ(Piping-General)_Annex C-BOQ(Piping-General)_Annex C-2 BOQ for Piping work_오만기계배관공사 공도구 소모품 견적현황-070412 - 2차" xfId="638" xr:uid="{00000000-0005-0000-0000-000084020000}"/>
    <cellStyle name="t_Annex C-첨부 BOQ(Piping-General)_Annex C-BOQ(Piping-General)_Annex C-BOQ(Piping-General)_DIRECT COST-GENECON 1-B" xfId="639" xr:uid="{00000000-0005-0000-0000-000085020000}"/>
    <cellStyle name="t_Annex C-첨부 BOQ(Piping-General)_Annex C-BOQ(Piping-General)_Annex C-BOQ(Piping-General)_DIRECT COST-GENECON 1-B_오만기계배관공사 공도구 소모품 견적현황" xfId="640" xr:uid="{00000000-0005-0000-0000-000086020000}"/>
    <cellStyle name="t_Annex C-첨부 BOQ(Piping-General)_Annex C-BOQ(Piping-General)_Annex C-BOQ(Piping-General)_DIRECT COST-GENECON 1-B_오만기계배관공사 공도구 소모품 견적현황-070412 - 2차" xfId="641" xr:uid="{00000000-0005-0000-0000-000087020000}"/>
    <cellStyle name="t_Annex C-첨부 BOQ(Piping-General)_Annex C-BOQ(Piping-General)_Annex C-BOQ(Piping-General)_SCHDULE 양식" xfId="642" xr:uid="{00000000-0005-0000-0000-000088020000}"/>
    <cellStyle name="t_Annex C-첨부 BOQ(Piping-General)_Annex C-BOQ(Piping-General)_Annex C-BOQ(Piping-General)_SCHDULE 양식_Annex C-2 BOQ for Piping work" xfId="643" xr:uid="{00000000-0005-0000-0000-000089020000}"/>
    <cellStyle name="t_Annex C-첨부 BOQ(Piping-General)_Annex C-BOQ(Piping-General)_Annex C-BOQ(Piping-General)_SCHDULE 양식_Annex C-2 BOQ for Piping work_오만기계배관공사 공도구 소모품 견적현황" xfId="644" xr:uid="{00000000-0005-0000-0000-00008A020000}"/>
    <cellStyle name="t_Annex C-첨부 BOQ(Piping-General)_Annex C-BOQ(Piping-General)_Annex C-BOQ(Piping-General)_SCHDULE 양식_Annex C-2 BOQ for Piping work_오만기계배관공사 공도구 소모품 견적현황-070412 - 2차" xfId="645" xr:uid="{00000000-0005-0000-0000-00008B020000}"/>
    <cellStyle name="t_Annex C-첨부 BOQ(Piping-General)_Annex C-BOQ(Piping-General)_Annex C-BOQ(Piping-General)_SCHDULE 양식_DIRECT COST-GENECON 1-B" xfId="646" xr:uid="{00000000-0005-0000-0000-00008C020000}"/>
    <cellStyle name="t_Annex C-첨부 BOQ(Piping-General)_Annex C-BOQ(Piping-General)_Annex C-BOQ(Piping-General)_SCHDULE 양식_DIRECT COST-GENECON 1-B_오만기계배관공사 공도구 소모품 견적현황" xfId="647" xr:uid="{00000000-0005-0000-0000-00008D020000}"/>
    <cellStyle name="t_Annex C-첨부 BOQ(Piping-General)_Annex C-BOQ(Piping-General)_Annex C-BOQ(Piping-General)_SCHDULE 양식_DIRECT COST-GENECON 1-B_오만기계배관공사 공도구 소모품 견적현황-070412 - 2차" xfId="648" xr:uid="{00000000-0005-0000-0000-00008E020000}"/>
    <cellStyle name="t_Annex C-첨부 BOQ(Piping-General)_Annex C-BOQ(Piping-General)_Annex C-BOQ(Piping-General)_SCHDULE 양식_견적서-QP LAB PROJECT(GENECON 1-A) BASE-4632(최종)" xfId="649" xr:uid="{00000000-0005-0000-0000-00008F020000}"/>
    <cellStyle name="t_Annex C-첨부 BOQ(Piping-General)_Annex C-BOQ(Piping-General)_Annex C-BOQ(Piping-General)_SCHDULE 양식_견적서-QP LAB PROJECT(GENECON 1-A) BASE-4632(최종)_오만기계배관공사 공도구 소모품 견적현황" xfId="650" xr:uid="{00000000-0005-0000-0000-000090020000}"/>
    <cellStyle name="t_Annex C-첨부 BOQ(Piping-General)_Annex C-BOQ(Piping-General)_Annex C-BOQ(Piping-General)_SCHDULE 양식_견적서-QP LAB PROJECT(GENECON 1-A) BASE-4632(최종)_오만기계배관공사 공도구 소모품 견적현황-070412 - 2차" xfId="651" xr:uid="{00000000-0005-0000-0000-000091020000}"/>
    <cellStyle name="t_Annex C-첨부 BOQ(Piping-General)_Annex C-BOQ(Piping-General)_Annex C-BOQ(Piping-General)_SCHDULE 양식_공사수행계획서 GC-19" xfId="652" xr:uid="{00000000-0005-0000-0000-000092020000}"/>
    <cellStyle name="t_Annex C-첨부 BOQ(Piping-General)_Annex C-BOQ(Piping-General)_Annex C-BOQ(Piping-General)_SCHDULE 양식_공사수행계획서 GC-19_오만기계배관공사 공도구 소모품 견적현황" xfId="653" xr:uid="{00000000-0005-0000-0000-000093020000}"/>
    <cellStyle name="t_Annex C-첨부 BOQ(Piping-General)_Annex C-BOQ(Piping-General)_Annex C-BOQ(Piping-General)_SCHDULE 양식_공사수행계획서 GC-19_오만기계배관공사 공도구 소모품 견적현황-070412 - 2차" xfId="654" xr:uid="{00000000-0005-0000-0000-000094020000}"/>
    <cellStyle name="t_Annex C-첨부 BOQ(Piping-General)_Annex C-BOQ(Piping-General)_Annex C-BOQ(Piping-General)_SCHDULE 양식_오만기계배관공사 공도구 소모품 견적현황" xfId="655" xr:uid="{00000000-0005-0000-0000-000095020000}"/>
    <cellStyle name="t_Annex C-첨부 BOQ(Piping-General)_Annex C-BOQ(Piping-General)_Annex C-BOQ(Piping-General)_SCHDULE 양식_오만기계배관공사 공도구 소모품 견적현황-070412 - 2차" xfId="656" xr:uid="{00000000-0005-0000-0000-000096020000}"/>
    <cellStyle name="t_Annex C-첨부 BOQ(Piping-General)_Annex C-BOQ(Piping-General)_Annex C-BOQ(Piping-General)_SCHDULE 양식_이력서" xfId="657" xr:uid="{00000000-0005-0000-0000-000097020000}"/>
    <cellStyle name="t_Annex C-첨부 BOQ(Piping-General)_Annex C-BOQ(Piping-General)_Annex C-BOQ(Piping-General)_SCHDULE 양식_이력서_오만기계배관공사 공도구 소모품 견적현황" xfId="658" xr:uid="{00000000-0005-0000-0000-000098020000}"/>
    <cellStyle name="t_Annex C-첨부 BOQ(Piping-General)_Annex C-BOQ(Piping-General)_Annex C-BOQ(Piping-General)_SCHDULE 양식_이력서_오만기계배관공사 공도구 소모품 견적현황-070412 - 2차" xfId="659" xr:uid="{00000000-0005-0000-0000-000099020000}"/>
    <cellStyle name="t_Annex C-첨부 BOQ(Piping-General)_Annex C-BOQ(Piping-General)_Annex C-BOQ(Piping-General)_견적서-QP LAB PROJECT(GENECON 1-A) BASE-4632(최종)" xfId="660" xr:uid="{00000000-0005-0000-0000-00009A020000}"/>
    <cellStyle name="t_Annex C-첨부 BOQ(Piping-General)_Annex C-BOQ(Piping-General)_Annex C-BOQ(Piping-General)_견적서-QP LAB PROJECT(GENECON 1-A) BASE-4632(최종)_오만기계배관공사 공도구 소모품 견적현황" xfId="661" xr:uid="{00000000-0005-0000-0000-00009B020000}"/>
    <cellStyle name="t_Annex C-첨부 BOQ(Piping-General)_Annex C-BOQ(Piping-General)_Annex C-BOQ(Piping-General)_견적서-QP LAB PROJECT(GENECON 1-A) BASE-4632(최종)_오만기계배관공사 공도구 소모품 견적현황-070412 - 2차" xfId="662" xr:uid="{00000000-0005-0000-0000-00009C020000}"/>
    <cellStyle name="t_Annex C-첨부 BOQ(Piping-General)_Annex C-BOQ(Piping-General)_Annex C-BOQ(Piping-General)_공사수행계획서 GC-19" xfId="663" xr:uid="{00000000-0005-0000-0000-00009D020000}"/>
    <cellStyle name="t_Annex C-첨부 BOQ(Piping-General)_Annex C-BOQ(Piping-General)_Annex C-BOQ(Piping-General)_공사수행계획서 GC-19_오만기계배관공사 공도구 소모품 견적현황" xfId="664" xr:uid="{00000000-0005-0000-0000-00009E020000}"/>
    <cellStyle name="t_Annex C-첨부 BOQ(Piping-General)_Annex C-BOQ(Piping-General)_Annex C-BOQ(Piping-General)_공사수행계획서 GC-19_오만기계배관공사 공도구 소모품 견적현황-070412 - 2차" xfId="665" xr:uid="{00000000-0005-0000-0000-00009F020000}"/>
    <cellStyle name="t_Annex C-첨부 BOQ(Piping-General)_Annex C-BOQ(Piping-General)_Annex C-BOQ(Piping-General)_오만기계배관공사 공도구 소모품 견적현황" xfId="666" xr:uid="{00000000-0005-0000-0000-0000A0020000}"/>
    <cellStyle name="t_Annex C-첨부 BOQ(Piping-General)_Annex C-BOQ(Piping-General)_Annex C-BOQ(Piping-General)_오만기계배관공사 공도구 소모품 견적현황-070412 - 2차" xfId="667" xr:uid="{00000000-0005-0000-0000-0000A1020000}"/>
    <cellStyle name="t_Annex C-첨부 BOQ(Piping-General)_Annex C-BOQ(Piping-General)_Annex C-BOQ(Piping-General)_이력서" xfId="668" xr:uid="{00000000-0005-0000-0000-0000A2020000}"/>
    <cellStyle name="t_Annex C-첨부 BOQ(Piping-General)_Annex C-BOQ(Piping-General)_Annex C-BOQ(Piping-General)_이력서_오만기계배관공사 공도구 소모품 견적현황" xfId="669" xr:uid="{00000000-0005-0000-0000-0000A3020000}"/>
    <cellStyle name="t_Annex C-첨부 BOQ(Piping-General)_Annex C-BOQ(Piping-General)_Annex C-BOQ(Piping-General)_이력서_오만기계배관공사 공도구 소모품 견적현황-070412 - 2차" xfId="670" xr:uid="{00000000-0005-0000-0000-0000A4020000}"/>
    <cellStyle name="t_Annex C-첨부 BOQ(Piping-General)_Annex C-BOQ(Piping-General)_DIRECT COST-GENECON 1-B" xfId="671" xr:uid="{00000000-0005-0000-0000-0000A5020000}"/>
    <cellStyle name="t_Annex C-첨부 BOQ(Piping-General)_Annex C-BOQ(Piping-General)_DIRECT COST-GENECON 1-B_오만기계배관공사 공도구 소모품 견적현황" xfId="672" xr:uid="{00000000-0005-0000-0000-0000A6020000}"/>
    <cellStyle name="t_Annex C-첨부 BOQ(Piping-General)_Annex C-BOQ(Piping-General)_DIRECT COST-GENECON 1-B_오만기계배관공사 공도구 소모품 견적현황-070412 - 2차" xfId="673" xr:uid="{00000000-0005-0000-0000-0000A7020000}"/>
    <cellStyle name="t_Annex C-첨부 BOQ(Piping-General)_Annex C-BOQ(Piping-General)_SCHDULE 양식" xfId="674" xr:uid="{00000000-0005-0000-0000-0000A8020000}"/>
    <cellStyle name="t_Annex C-첨부 BOQ(Piping-General)_Annex C-BOQ(Piping-General)_SCHDULE 양식_Annex C-2 BOQ for Piping work" xfId="675" xr:uid="{00000000-0005-0000-0000-0000A9020000}"/>
    <cellStyle name="t_Annex C-첨부 BOQ(Piping-General)_Annex C-BOQ(Piping-General)_SCHDULE 양식_Annex C-2 BOQ for Piping work_오만기계배관공사 공도구 소모품 견적현황" xfId="676" xr:uid="{00000000-0005-0000-0000-0000AA020000}"/>
    <cellStyle name="t_Annex C-첨부 BOQ(Piping-General)_Annex C-BOQ(Piping-General)_SCHDULE 양식_Annex C-2 BOQ for Piping work_오만기계배관공사 공도구 소모품 견적현황-070412 - 2차" xfId="677" xr:uid="{00000000-0005-0000-0000-0000AB020000}"/>
    <cellStyle name="t_Annex C-첨부 BOQ(Piping-General)_Annex C-BOQ(Piping-General)_SCHDULE 양식_DIRECT COST-GENECON 1-B" xfId="678" xr:uid="{00000000-0005-0000-0000-0000AC020000}"/>
    <cellStyle name="t_Annex C-첨부 BOQ(Piping-General)_Annex C-BOQ(Piping-General)_SCHDULE 양식_DIRECT COST-GENECON 1-B_오만기계배관공사 공도구 소모품 견적현황" xfId="679" xr:uid="{00000000-0005-0000-0000-0000AD020000}"/>
    <cellStyle name="t_Annex C-첨부 BOQ(Piping-General)_Annex C-BOQ(Piping-General)_SCHDULE 양식_DIRECT COST-GENECON 1-B_오만기계배관공사 공도구 소모품 견적현황-070412 - 2차" xfId="680" xr:uid="{00000000-0005-0000-0000-0000AE020000}"/>
    <cellStyle name="t_Annex C-첨부 BOQ(Piping-General)_Annex C-BOQ(Piping-General)_SCHDULE 양식_견적서-QP LAB PROJECT(GENECON 1-A) BASE-4632(최종)" xfId="681" xr:uid="{00000000-0005-0000-0000-0000AF020000}"/>
    <cellStyle name="t_Annex C-첨부 BOQ(Piping-General)_Annex C-BOQ(Piping-General)_SCHDULE 양식_견적서-QP LAB PROJECT(GENECON 1-A) BASE-4632(최종)_오만기계배관공사 공도구 소모품 견적현황" xfId="682" xr:uid="{00000000-0005-0000-0000-0000B0020000}"/>
    <cellStyle name="t_Annex C-첨부 BOQ(Piping-General)_Annex C-BOQ(Piping-General)_SCHDULE 양식_견적서-QP LAB PROJECT(GENECON 1-A) BASE-4632(최종)_오만기계배관공사 공도구 소모품 견적현황-070412 - 2차" xfId="683" xr:uid="{00000000-0005-0000-0000-0000B1020000}"/>
    <cellStyle name="t_Annex C-첨부 BOQ(Piping-General)_Annex C-BOQ(Piping-General)_SCHDULE 양식_공사수행계획서 GC-19" xfId="684" xr:uid="{00000000-0005-0000-0000-0000B2020000}"/>
    <cellStyle name="t_Annex C-첨부 BOQ(Piping-General)_Annex C-BOQ(Piping-General)_SCHDULE 양식_공사수행계획서 GC-19_오만기계배관공사 공도구 소모품 견적현황" xfId="685" xr:uid="{00000000-0005-0000-0000-0000B3020000}"/>
    <cellStyle name="t_Annex C-첨부 BOQ(Piping-General)_Annex C-BOQ(Piping-General)_SCHDULE 양식_공사수행계획서 GC-19_오만기계배관공사 공도구 소모품 견적현황-070412 - 2차" xfId="686" xr:uid="{00000000-0005-0000-0000-0000B4020000}"/>
    <cellStyle name="t_Annex C-첨부 BOQ(Piping-General)_Annex C-BOQ(Piping-General)_SCHDULE 양식_오만기계배관공사 공도구 소모품 견적현황" xfId="687" xr:uid="{00000000-0005-0000-0000-0000B5020000}"/>
    <cellStyle name="t_Annex C-첨부 BOQ(Piping-General)_Annex C-BOQ(Piping-General)_SCHDULE 양식_오만기계배관공사 공도구 소모품 견적현황-070412 - 2차" xfId="688" xr:uid="{00000000-0005-0000-0000-0000B6020000}"/>
    <cellStyle name="t_Annex C-첨부 BOQ(Piping-General)_Annex C-BOQ(Piping-General)_SCHDULE 양식_이력서" xfId="689" xr:uid="{00000000-0005-0000-0000-0000B7020000}"/>
    <cellStyle name="t_Annex C-첨부 BOQ(Piping-General)_Annex C-BOQ(Piping-General)_SCHDULE 양식_이력서_오만기계배관공사 공도구 소모품 견적현황" xfId="690" xr:uid="{00000000-0005-0000-0000-0000B8020000}"/>
    <cellStyle name="t_Annex C-첨부 BOQ(Piping-General)_Annex C-BOQ(Piping-General)_SCHDULE 양식_이력서_오만기계배관공사 공도구 소모품 견적현황-070412 - 2차" xfId="691" xr:uid="{00000000-0005-0000-0000-0000B9020000}"/>
    <cellStyle name="t_Annex C-첨부 BOQ(Piping-General)_Annex C-BOQ(Piping-General)_견적서-QP LAB PROJECT(GENECON 1-A) BASE-4632(최종)" xfId="692" xr:uid="{00000000-0005-0000-0000-0000BA020000}"/>
    <cellStyle name="t_Annex C-첨부 BOQ(Piping-General)_Annex C-BOQ(Piping-General)_견적서-QP LAB PROJECT(GENECON 1-A) BASE-4632(최종)_오만기계배관공사 공도구 소모품 견적현황" xfId="693" xr:uid="{00000000-0005-0000-0000-0000BB020000}"/>
    <cellStyle name="t_Annex C-첨부 BOQ(Piping-General)_Annex C-BOQ(Piping-General)_견적서-QP LAB PROJECT(GENECON 1-A) BASE-4632(최종)_오만기계배관공사 공도구 소모품 견적현황-070412 - 2차" xfId="694" xr:uid="{00000000-0005-0000-0000-0000BC020000}"/>
    <cellStyle name="t_Annex C-첨부 BOQ(Piping-General)_Annex C-BOQ(Piping-General)_공사수행계획서" xfId="695" xr:uid="{00000000-0005-0000-0000-0000BD020000}"/>
    <cellStyle name="t_Annex C-첨부 BOQ(Piping-General)_Annex C-BOQ(Piping-General)_공사수행계획서 GC-19" xfId="696" xr:uid="{00000000-0005-0000-0000-0000BE020000}"/>
    <cellStyle name="t_Annex C-첨부 BOQ(Piping-General)_Annex C-BOQ(Piping-General)_공사수행계획서 GC-19_오만기계배관공사 공도구 소모품 견적현황" xfId="697" xr:uid="{00000000-0005-0000-0000-0000BF020000}"/>
    <cellStyle name="t_Annex C-첨부 BOQ(Piping-General)_Annex C-BOQ(Piping-General)_공사수행계획서 GC-19_오만기계배관공사 공도구 소모품 견적현황-070412 - 2차" xfId="698" xr:uid="{00000000-0005-0000-0000-0000C0020000}"/>
    <cellStyle name="t_Annex C-첨부 BOQ(Piping-General)_Annex C-BOQ(Piping-General)_공사수행계획서_오만기계배관공사 공도구 소모품 견적현황" xfId="699" xr:uid="{00000000-0005-0000-0000-0000C1020000}"/>
    <cellStyle name="t_Annex C-첨부 BOQ(Piping-General)_Annex C-BOQ(Piping-General)_공사수행계획서_오만기계배관공사 공도구 소모품 견적현황-070412 - 2차" xfId="700" xr:uid="{00000000-0005-0000-0000-0000C2020000}"/>
    <cellStyle name="t_Annex C-첨부 BOQ(Piping-General)_Annex C-BOQ(Piping-General)_수행계획서" xfId="701" xr:uid="{00000000-0005-0000-0000-0000C3020000}"/>
    <cellStyle name="t_Annex C-첨부 BOQ(Piping-General)_Annex C-BOQ(Piping-General)_수행계획서_Annex C-2 BOQ for Piping work" xfId="702" xr:uid="{00000000-0005-0000-0000-0000C4020000}"/>
    <cellStyle name="t_Annex C-첨부 BOQ(Piping-General)_Annex C-BOQ(Piping-General)_수행계획서_Annex C-2 BOQ for Piping work_오만기계배관공사 공도구 소모품 견적현황" xfId="703" xr:uid="{00000000-0005-0000-0000-0000C5020000}"/>
    <cellStyle name="t_Annex C-첨부 BOQ(Piping-General)_Annex C-BOQ(Piping-General)_수행계획서_Annex C-2 BOQ for Piping work_오만기계배관공사 공도구 소모품 견적현황-070412 - 2차" xfId="704" xr:uid="{00000000-0005-0000-0000-0000C6020000}"/>
    <cellStyle name="t_Annex C-첨부 BOQ(Piping-General)_Annex C-BOQ(Piping-General)_수행계획서_DIRECT COST-GENECON 1-B" xfId="705" xr:uid="{00000000-0005-0000-0000-0000C7020000}"/>
    <cellStyle name="t_Annex C-첨부 BOQ(Piping-General)_Annex C-BOQ(Piping-General)_수행계획서_DIRECT COST-GENECON 1-B_오만기계배관공사 공도구 소모품 견적현황" xfId="706" xr:uid="{00000000-0005-0000-0000-0000C8020000}"/>
    <cellStyle name="t_Annex C-첨부 BOQ(Piping-General)_Annex C-BOQ(Piping-General)_수행계획서_DIRECT COST-GENECON 1-B_오만기계배관공사 공도구 소모품 견적현황-070412 - 2차" xfId="707" xr:uid="{00000000-0005-0000-0000-0000C9020000}"/>
    <cellStyle name="t_Annex C-첨부 BOQ(Piping-General)_Annex C-BOQ(Piping-General)_수행계획서_SCHDULE 양식" xfId="708" xr:uid="{00000000-0005-0000-0000-0000CA020000}"/>
    <cellStyle name="t_Annex C-첨부 BOQ(Piping-General)_Annex C-BOQ(Piping-General)_수행계획서_SCHDULE 양식_Annex C-2 BOQ for Piping work" xfId="709" xr:uid="{00000000-0005-0000-0000-0000CB020000}"/>
    <cellStyle name="t_Annex C-첨부 BOQ(Piping-General)_Annex C-BOQ(Piping-General)_수행계획서_SCHDULE 양식_Annex C-2 BOQ for Piping work_오만기계배관공사 공도구 소모품 견적현황" xfId="710" xr:uid="{00000000-0005-0000-0000-0000CC020000}"/>
    <cellStyle name="t_Annex C-첨부 BOQ(Piping-General)_Annex C-BOQ(Piping-General)_수행계획서_SCHDULE 양식_Annex C-2 BOQ for Piping work_오만기계배관공사 공도구 소모품 견적현황-070412 - 2차" xfId="711" xr:uid="{00000000-0005-0000-0000-0000CD020000}"/>
    <cellStyle name="t_Annex C-첨부 BOQ(Piping-General)_Annex C-BOQ(Piping-General)_수행계획서_SCHDULE 양식_DIRECT COST-GENECON 1-B" xfId="712" xr:uid="{00000000-0005-0000-0000-0000CE020000}"/>
    <cellStyle name="t_Annex C-첨부 BOQ(Piping-General)_Annex C-BOQ(Piping-General)_수행계획서_SCHDULE 양식_DIRECT COST-GENECON 1-B_오만기계배관공사 공도구 소모품 견적현황" xfId="713" xr:uid="{00000000-0005-0000-0000-0000CF020000}"/>
    <cellStyle name="t_Annex C-첨부 BOQ(Piping-General)_Annex C-BOQ(Piping-General)_수행계획서_SCHDULE 양식_DIRECT COST-GENECON 1-B_오만기계배관공사 공도구 소모품 견적현황-070412 - 2차" xfId="714" xr:uid="{00000000-0005-0000-0000-0000D0020000}"/>
    <cellStyle name="t_Annex C-첨부 BOQ(Piping-General)_Annex C-BOQ(Piping-General)_수행계획서_SCHDULE 양식_견적서-QP LAB PROJECT(GENECON 1-A) BASE-4632(최종)" xfId="715" xr:uid="{00000000-0005-0000-0000-0000D1020000}"/>
    <cellStyle name="t_Annex C-첨부 BOQ(Piping-General)_Annex C-BOQ(Piping-General)_수행계획서_SCHDULE 양식_견적서-QP LAB PROJECT(GENECON 1-A) BASE-4632(최종)_오만기계배관공사 공도구 소모품 견적현황" xfId="716" xr:uid="{00000000-0005-0000-0000-0000D2020000}"/>
    <cellStyle name="t_Annex C-첨부 BOQ(Piping-General)_Annex C-BOQ(Piping-General)_수행계획서_SCHDULE 양식_견적서-QP LAB PROJECT(GENECON 1-A) BASE-4632(최종)_오만기계배관공사 공도구 소모품 견적현황-070412 - 2차" xfId="717" xr:uid="{00000000-0005-0000-0000-0000D3020000}"/>
    <cellStyle name="t_Annex C-첨부 BOQ(Piping-General)_Annex C-BOQ(Piping-General)_수행계획서_SCHDULE 양식_공사수행계획서 GC-19" xfId="718" xr:uid="{00000000-0005-0000-0000-0000D4020000}"/>
    <cellStyle name="t_Annex C-첨부 BOQ(Piping-General)_Annex C-BOQ(Piping-General)_수행계획서_SCHDULE 양식_공사수행계획서 GC-19_오만기계배관공사 공도구 소모품 견적현황" xfId="719" xr:uid="{00000000-0005-0000-0000-0000D5020000}"/>
    <cellStyle name="t_Annex C-첨부 BOQ(Piping-General)_Annex C-BOQ(Piping-General)_수행계획서_SCHDULE 양식_공사수행계획서 GC-19_오만기계배관공사 공도구 소모품 견적현황-070412 - 2차" xfId="720" xr:uid="{00000000-0005-0000-0000-0000D6020000}"/>
    <cellStyle name="t_Annex C-첨부 BOQ(Piping-General)_Annex C-BOQ(Piping-General)_수행계획서_SCHDULE 양식_오만기계배관공사 공도구 소모품 견적현황" xfId="721" xr:uid="{00000000-0005-0000-0000-0000D7020000}"/>
    <cellStyle name="t_Annex C-첨부 BOQ(Piping-General)_Annex C-BOQ(Piping-General)_수행계획서_SCHDULE 양식_오만기계배관공사 공도구 소모품 견적현황-070412 - 2차" xfId="722" xr:uid="{00000000-0005-0000-0000-0000D8020000}"/>
    <cellStyle name="t_Annex C-첨부 BOQ(Piping-General)_Annex C-BOQ(Piping-General)_수행계획서_SCHDULE 양식_이력서" xfId="723" xr:uid="{00000000-0005-0000-0000-0000D9020000}"/>
    <cellStyle name="t_Annex C-첨부 BOQ(Piping-General)_Annex C-BOQ(Piping-General)_수행계획서_SCHDULE 양식_이력서_오만기계배관공사 공도구 소모품 견적현황" xfId="724" xr:uid="{00000000-0005-0000-0000-0000DA020000}"/>
    <cellStyle name="t_Annex C-첨부 BOQ(Piping-General)_Annex C-BOQ(Piping-General)_수행계획서_SCHDULE 양식_이력서_오만기계배관공사 공도구 소모품 견적현황-070412 - 2차" xfId="725" xr:uid="{00000000-0005-0000-0000-0000DB020000}"/>
    <cellStyle name="t_Annex C-첨부 BOQ(Piping-General)_Annex C-BOQ(Piping-General)_수행계획서_견적서-QP LAB PROJECT(GENECON 1-A) BASE-4632(최종)" xfId="726" xr:uid="{00000000-0005-0000-0000-0000DC020000}"/>
    <cellStyle name="t_Annex C-첨부 BOQ(Piping-General)_Annex C-BOQ(Piping-General)_수행계획서_견적서-QP LAB PROJECT(GENECON 1-A) BASE-4632(최종)_오만기계배관공사 공도구 소모품 견적현황" xfId="727" xr:uid="{00000000-0005-0000-0000-0000DD020000}"/>
    <cellStyle name="t_Annex C-첨부 BOQ(Piping-General)_Annex C-BOQ(Piping-General)_수행계획서_견적서-QP LAB PROJECT(GENECON 1-A) BASE-4632(최종)_오만기계배관공사 공도구 소모품 견적현황-070412 - 2차" xfId="728" xr:uid="{00000000-0005-0000-0000-0000DE020000}"/>
    <cellStyle name="t_Annex C-첨부 BOQ(Piping-General)_Annex C-BOQ(Piping-General)_수행계획서_공사수행계획서 GC-19" xfId="729" xr:uid="{00000000-0005-0000-0000-0000DF020000}"/>
    <cellStyle name="t_Annex C-첨부 BOQ(Piping-General)_Annex C-BOQ(Piping-General)_수행계획서_공사수행계획서 GC-19_오만기계배관공사 공도구 소모품 견적현황" xfId="730" xr:uid="{00000000-0005-0000-0000-0000E0020000}"/>
    <cellStyle name="t_Annex C-첨부 BOQ(Piping-General)_Annex C-BOQ(Piping-General)_수행계획서_공사수행계획서 GC-19_오만기계배관공사 공도구 소모품 견적현황-070412 - 2차" xfId="731" xr:uid="{00000000-0005-0000-0000-0000E1020000}"/>
    <cellStyle name="t_Annex C-첨부 BOQ(Piping-General)_Annex C-BOQ(Piping-General)_수행계획서_오만기계배관공사 공도구 소모품 견적현황" xfId="732" xr:uid="{00000000-0005-0000-0000-0000E2020000}"/>
    <cellStyle name="t_Annex C-첨부 BOQ(Piping-General)_Annex C-BOQ(Piping-General)_수행계획서_오만기계배관공사 공도구 소모품 견적현황-070412 - 2차" xfId="733" xr:uid="{00000000-0005-0000-0000-0000E3020000}"/>
    <cellStyle name="t_Annex C-첨부 BOQ(Piping-General)_Annex C-BOQ(Piping-General)_수행계획서_이력서" xfId="734" xr:uid="{00000000-0005-0000-0000-0000E4020000}"/>
    <cellStyle name="t_Annex C-첨부 BOQ(Piping-General)_Annex C-BOQ(Piping-General)_수행계획서_이력서_오만기계배관공사 공도구 소모품 견적현황" xfId="735" xr:uid="{00000000-0005-0000-0000-0000E5020000}"/>
    <cellStyle name="t_Annex C-첨부 BOQ(Piping-General)_Annex C-BOQ(Piping-General)_수행계획서_이력서_오만기계배관공사 공도구 소모품 견적현황-070412 - 2차" xfId="736" xr:uid="{00000000-0005-0000-0000-0000E6020000}"/>
    <cellStyle name="t_Annex C-첨부 BOQ(Piping-General)_Annex C-BOQ(Piping-General)_오만기계배관공사 공도구 소모품 견적현황" xfId="737" xr:uid="{00000000-0005-0000-0000-0000E7020000}"/>
    <cellStyle name="t_Annex C-첨부 BOQ(Piping-General)_Annex C-BOQ(Piping-General)_오만기계배관공사 공도구 소모품 견적현황-070412 - 2차" xfId="738" xr:uid="{00000000-0005-0000-0000-0000E8020000}"/>
    <cellStyle name="t_Annex C-첨부 BOQ(Piping-General)_Annex C-BOQ(Piping-General)_이력서" xfId="739" xr:uid="{00000000-0005-0000-0000-0000E9020000}"/>
    <cellStyle name="t_Annex C-첨부 BOQ(Piping-General)_Annex C-BOQ(Piping-General)_이력서_오만기계배관공사 공도구 소모품 견적현황" xfId="740" xr:uid="{00000000-0005-0000-0000-0000EA020000}"/>
    <cellStyle name="t_Annex C-첨부 BOQ(Piping-General)_Annex C-BOQ(Piping-General)_이력서_오만기계배관공사 공도구 소모품 견적현황-070412 - 2차" xfId="741" xr:uid="{00000000-0005-0000-0000-0000EB020000}"/>
    <cellStyle name="t_Annex C-첨부 BOQ(Piping-General)_Annex C-BOQ(Piping-General)-1" xfId="742" xr:uid="{00000000-0005-0000-0000-0000EC020000}"/>
    <cellStyle name="t_Annex C-첨부 BOQ(Piping-General)_Annex C-BOQ(Piping-General)-1_Annex C-2 BOQ for Piping work" xfId="743" xr:uid="{00000000-0005-0000-0000-0000ED020000}"/>
    <cellStyle name="t_Annex C-첨부 BOQ(Piping-General)_Annex C-BOQ(Piping-General)-1_Annex C-2 BOQ for Piping work_오만기계배관공사 공도구 소모품 견적현황" xfId="744" xr:uid="{00000000-0005-0000-0000-0000EE020000}"/>
    <cellStyle name="t_Annex C-첨부 BOQ(Piping-General)_Annex C-BOQ(Piping-General)-1_Annex C-2 BOQ for Piping work_오만기계배관공사 공도구 소모품 견적현황-070412 - 2차" xfId="745" xr:uid="{00000000-0005-0000-0000-0000EF020000}"/>
    <cellStyle name="t_Annex C-첨부 BOQ(Piping-General)_Annex C-BOQ(Piping-General)-1_Annex C-BOQ(Piping-General)" xfId="746" xr:uid="{00000000-0005-0000-0000-0000F0020000}"/>
    <cellStyle name="t_Annex C-첨부 BOQ(Piping-General)_Annex C-BOQ(Piping-General)-1_Annex C-BOQ(Piping-General)_Annex C-2 BOQ for Piping work" xfId="747" xr:uid="{00000000-0005-0000-0000-0000F1020000}"/>
    <cellStyle name="t_Annex C-첨부 BOQ(Piping-General)_Annex C-BOQ(Piping-General)-1_Annex C-BOQ(Piping-General)_Annex C-2 BOQ for Piping work_오만기계배관공사 공도구 소모품 견적현황" xfId="748" xr:uid="{00000000-0005-0000-0000-0000F2020000}"/>
    <cellStyle name="t_Annex C-첨부 BOQ(Piping-General)_Annex C-BOQ(Piping-General)-1_Annex C-BOQ(Piping-General)_Annex C-2 BOQ for Piping work_오만기계배관공사 공도구 소모품 견적현황-070412 - 2차" xfId="749" xr:uid="{00000000-0005-0000-0000-0000F3020000}"/>
    <cellStyle name="t_Annex C-첨부 BOQ(Piping-General)_Annex C-BOQ(Piping-General)-1_Annex C-BOQ(Piping-General)_DIRECT COST-GENECON 1-B" xfId="750" xr:uid="{00000000-0005-0000-0000-0000F4020000}"/>
    <cellStyle name="t_Annex C-첨부 BOQ(Piping-General)_Annex C-BOQ(Piping-General)-1_Annex C-BOQ(Piping-General)_DIRECT COST-GENECON 1-B_오만기계배관공사 공도구 소모품 견적현황" xfId="751" xr:uid="{00000000-0005-0000-0000-0000F5020000}"/>
    <cellStyle name="t_Annex C-첨부 BOQ(Piping-General)_Annex C-BOQ(Piping-General)-1_Annex C-BOQ(Piping-General)_DIRECT COST-GENECON 1-B_오만기계배관공사 공도구 소모품 견적현황-070412 - 2차" xfId="752" xr:uid="{00000000-0005-0000-0000-0000F6020000}"/>
    <cellStyle name="t_Annex C-첨부 BOQ(Piping-General)_Annex C-BOQ(Piping-General)-1_Annex C-BOQ(Piping-General)_SCHDULE 양식" xfId="753" xr:uid="{00000000-0005-0000-0000-0000F7020000}"/>
    <cellStyle name="t_Annex C-첨부 BOQ(Piping-General)_Annex C-BOQ(Piping-General)-1_Annex C-BOQ(Piping-General)_SCHDULE 양식_Annex C-2 BOQ for Piping work" xfId="754" xr:uid="{00000000-0005-0000-0000-0000F8020000}"/>
    <cellStyle name="t_Annex C-첨부 BOQ(Piping-General)_Annex C-BOQ(Piping-General)-1_Annex C-BOQ(Piping-General)_SCHDULE 양식_Annex C-2 BOQ for Piping work_오만기계배관공사 공도구 소모품 견적현황" xfId="755" xr:uid="{00000000-0005-0000-0000-0000F9020000}"/>
    <cellStyle name="t_Annex C-첨부 BOQ(Piping-General)_Annex C-BOQ(Piping-General)-1_Annex C-BOQ(Piping-General)_SCHDULE 양식_Annex C-2 BOQ for Piping work_오만기계배관공사 공도구 소모품 견적현황-070412 - 2차" xfId="756" xr:uid="{00000000-0005-0000-0000-0000FA020000}"/>
    <cellStyle name="t_Annex C-첨부 BOQ(Piping-General)_Annex C-BOQ(Piping-General)-1_Annex C-BOQ(Piping-General)_SCHDULE 양식_DIRECT COST-GENECON 1-B" xfId="757" xr:uid="{00000000-0005-0000-0000-0000FB020000}"/>
    <cellStyle name="t_Annex C-첨부 BOQ(Piping-General)_Annex C-BOQ(Piping-General)-1_Annex C-BOQ(Piping-General)_SCHDULE 양식_DIRECT COST-GENECON 1-B_오만기계배관공사 공도구 소모품 견적현황" xfId="758" xr:uid="{00000000-0005-0000-0000-0000FC020000}"/>
    <cellStyle name="t_Annex C-첨부 BOQ(Piping-General)_Annex C-BOQ(Piping-General)-1_Annex C-BOQ(Piping-General)_SCHDULE 양식_DIRECT COST-GENECON 1-B_오만기계배관공사 공도구 소모품 견적현황-070412 - 2차" xfId="759" xr:uid="{00000000-0005-0000-0000-0000FD020000}"/>
    <cellStyle name="t_Annex C-첨부 BOQ(Piping-General)_Annex C-BOQ(Piping-General)-1_Annex C-BOQ(Piping-General)_SCHDULE 양식_견적서-QP LAB PROJECT(GENECON 1-A) BASE-4632(최종)" xfId="760" xr:uid="{00000000-0005-0000-0000-0000FE020000}"/>
    <cellStyle name="t_Annex C-첨부 BOQ(Piping-General)_Annex C-BOQ(Piping-General)-1_Annex C-BOQ(Piping-General)_SCHDULE 양식_견적서-QP LAB PROJECT(GENECON 1-A) BASE-4632(최종)_오만기계배관공사 공도구 소모품 견적현황" xfId="761" xr:uid="{00000000-0005-0000-0000-0000FF020000}"/>
    <cellStyle name="t_Annex C-첨부 BOQ(Piping-General)_Annex C-BOQ(Piping-General)-1_Annex C-BOQ(Piping-General)_SCHDULE 양식_견적서-QP LAB PROJECT(GENECON 1-A) BASE-4632(최종)_오만기계배관공사 공도구 소모품 견적현황-070412 - 2차" xfId="762" xr:uid="{00000000-0005-0000-0000-000000030000}"/>
    <cellStyle name="t_Annex C-첨부 BOQ(Piping-General)_Annex C-BOQ(Piping-General)-1_Annex C-BOQ(Piping-General)_SCHDULE 양식_공사수행계획서 GC-19" xfId="763" xr:uid="{00000000-0005-0000-0000-000001030000}"/>
    <cellStyle name="t_Annex C-첨부 BOQ(Piping-General)_Annex C-BOQ(Piping-General)-1_Annex C-BOQ(Piping-General)_SCHDULE 양식_공사수행계획서 GC-19_오만기계배관공사 공도구 소모품 견적현황" xfId="764" xr:uid="{00000000-0005-0000-0000-000002030000}"/>
    <cellStyle name="t_Annex C-첨부 BOQ(Piping-General)_Annex C-BOQ(Piping-General)-1_Annex C-BOQ(Piping-General)_SCHDULE 양식_공사수행계획서 GC-19_오만기계배관공사 공도구 소모품 견적현황-070412 - 2차" xfId="765" xr:uid="{00000000-0005-0000-0000-000003030000}"/>
    <cellStyle name="t_Annex C-첨부 BOQ(Piping-General)_Annex C-BOQ(Piping-General)-1_Annex C-BOQ(Piping-General)_SCHDULE 양식_오만기계배관공사 공도구 소모품 견적현황" xfId="766" xr:uid="{00000000-0005-0000-0000-000004030000}"/>
    <cellStyle name="t_Annex C-첨부 BOQ(Piping-General)_Annex C-BOQ(Piping-General)-1_Annex C-BOQ(Piping-General)_SCHDULE 양식_오만기계배관공사 공도구 소모품 견적현황-070412 - 2차" xfId="767" xr:uid="{00000000-0005-0000-0000-000005030000}"/>
    <cellStyle name="t_Annex C-첨부 BOQ(Piping-General)_Annex C-BOQ(Piping-General)-1_Annex C-BOQ(Piping-General)_SCHDULE 양식_이력서" xfId="768" xr:uid="{00000000-0005-0000-0000-000006030000}"/>
    <cellStyle name="t_Annex C-첨부 BOQ(Piping-General)_Annex C-BOQ(Piping-General)-1_Annex C-BOQ(Piping-General)_SCHDULE 양식_이력서_오만기계배관공사 공도구 소모품 견적현황" xfId="769" xr:uid="{00000000-0005-0000-0000-000007030000}"/>
    <cellStyle name="t_Annex C-첨부 BOQ(Piping-General)_Annex C-BOQ(Piping-General)-1_Annex C-BOQ(Piping-General)_SCHDULE 양식_이력서_오만기계배관공사 공도구 소모품 견적현황-070412 - 2차" xfId="770" xr:uid="{00000000-0005-0000-0000-000008030000}"/>
    <cellStyle name="t_Annex C-첨부 BOQ(Piping-General)_Annex C-BOQ(Piping-General)-1_Annex C-BOQ(Piping-General)_견적서-QP LAB PROJECT(GENECON 1-A) BASE-4632(최종)" xfId="771" xr:uid="{00000000-0005-0000-0000-000009030000}"/>
    <cellStyle name="t_Annex C-첨부 BOQ(Piping-General)_Annex C-BOQ(Piping-General)-1_Annex C-BOQ(Piping-General)_견적서-QP LAB PROJECT(GENECON 1-A) BASE-4632(최종)_오만기계배관공사 공도구 소모품 견적현황" xfId="772" xr:uid="{00000000-0005-0000-0000-00000A030000}"/>
    <cellStyle name="t_Annex C-첨부 BOQ(Piping-General)_Annex C-BOQ(Piping-General)-1_Annex C-BOQ(Piping-General)_견적서-QP LAB PROJECT(GENECON 1-A) BASE-4632(최종)_오만기계배관공사 공도구 소모품 견적현황-070412 - 2차" xfId="773" xr:uid="{00000000-0005-0000-0000-00000B030000}"/>
    <cellStyle name="t_Annex C-첨부 BOQ(Piping-General)_Annex C-BOQ(Piping-General)-1_Annex C-BOQ(Piping-General)_공사수행계획서 GC-19" xfId="774" xr:uid="{00000000-0005-0000-0000-00000C030000}"/>
    <cellStyle name="t_Annex C-첨부 BOQ(Piping-General)_Annex C-BOQ(Piping-General)-1_Annex C-BOQ(Piping-General)_공사수행계획서 GC-19_오만기계배관공사 공도구 소모품 견적현황" xfId="775" xr:uid="{00000000-0005-0000-0000-00000D030000}"/>
    <cellStyle name="t_Annex C-첨부 BOQ(Piping-General)_Annex C-BOQ(Piping-General)-1_Annex C-BOQ(Piping-General)_공사수행계획서 GC-19_오만기계배관공사 공도구 소모품 견적현황-070412 - 2차" xfId="776" xr:uid="{00000000-0005-0000-0000-00000E030000}"/>
    <cellStyle name="t_Annex C-첨부 BOQ(Piping-General)_Annex C-BOQ(Piping-General)-1_Annex C-BOQ(Piping-General)_오만기계배관공사 공도구 소모품 견적현황" xfId="777" xr:uid="{00000000-0005-0000-0000-00000F030000}"/>
    <cellStyle name="t_Annex C-첨부 BOQ(Piping-General)_Annex C-BOQ(Piping-General)-1_Annex C-BOQ(Piping-General)_오만기계배관공사 공도구 소모품 견적현황-070412 - 2차" xfId="778" xr:uid="{00000000-0005-0000-0000-000010030000}"/>
    <cellStyle name="t_Annex C-첨부 BOQ(Piping-General)_Annex C-BOQ(Piping-General)-1_Annex C-BOQ(Piping-General)_이력서" xfId="779" xr:uid="{00000000-0005-0000-0000-000011030000}"/>
    <cellStyle name="t_Annex C-첨부 BOQ(Piping-General)_Annex C-BOQ(Piping-General)-1_Annex C-BOQ(Piping-General)_이력서_오만기계배관공사 공도구 소모품 견적현황" xfId="780" xr:uid="{00000000-0005-0000-0000-000012030000}"/>
    <cellStyle name="t_Annex C-첨부 BOQ(Piping-General)_Annex C-BOQ(Piping-General)-1_Annex C-BOQ(Piping-General)_이력서_오만기계배관공사 공도구 소모품 견적현황-070412 - 2차" xfId="781" xr:uid="{00000000-0005-0000-0000-000013030000}"/>
    <cellStyle name="t_Annex C-첨부 BOQ(Piping-General)_Annex C-BOQ(Piping-General)-1_DIRECT COST-GENECON 1-B" xfId="782" xr:uid="{00000000-0005-0000-0000-000014030000}"/>
    <cellStyle name="t_Annex C-첨부 BOQ(Piping-General)_Annex C-BOQ(Piping-General)-1_DIRECT COST-GENECON 1-B_오만기계배관공사 공도구 소모품 견적현황" xfId="783" xr:uid="{00000000-0005-0000-0000-000015030000}"/>
    <cellStyle name="t_Annex C-첨부 BOQ(Piping-General)_Annex C-BOQ(Piping-General)-1_DIRECT COST-GENECON 1-B_오만기계배관공사 공도구 소모품 견적현황-070412 - 2차" xfId="784" xr:uid="{00000000-0005-0000-0000-000016030000}"/>
    <cellStyle name="t_Annex C-첨부 BOQ(Piping-General)_Annex C-BOQ(Piping-General)-1_SCHDULE 양식" xfId="785" xr:uid="{00000000-0005-0000-0000-000017030000}"/>
    <cellStyle name="t_Annex C-첨부 BOQ(Piping-General)_Annex C-BOQ(Piping-General)-1_SCHDULE 양식_Annex C-2 BOQ for Piping work" xfId="786" xr:uid="{00000000-0005-0000-0000-000018030000}"/>
    <cellStyle name="t_Annex C-첨부 BOQ(Piping-General)_Annex C-BOQ(Piping-General)-1_SCHDULE 양식_Annex C-2 BOQ for Piping work_오만기계배관공사 공도구 소모품 견적현황" xfId="787" xr:uid="{00000000-0005-0000-0000-000019030000}"/>
    <cellStyle name="t_Annex C-첨부 BOQ(Piping-General)_Annex C-BOQ(Piping-General)-1_SCHDULE 양식_Annex C-2 BOQ for Piping work_오만기계배관공사 공도구 소모품 견적현황-070412 - 2차" xfId="788" xr:uid="{00000000-0005-0000-0000-00001A030000}"/>
    <cellStyle name="t_Annex C-첨부 BOQ(Piping-General)_Annex C-BOQ(Piping-General)-1_SCHDULE 양식_DIRECT COST-GENECON 1-B" xfId="789" xr:uid="{00000000-0005-0000-0000-00001B030000}"/>
    <cellStyle name="t_Annex C-첨부 BOQ(Piping-General)_Annex C-BOQ(Piping-General)-1_SCHDULE 양식_DIRECT COST-GENECON 1-B_오만기계배관공사 공도구 소모품 견적현황" xfId="790" xr:uid="{00000000-0005-0000-0000-00001C030000}"/>
    <cellStyle name="t_Annex C-첨부 BOQ(Piping-General)_Annex C-BOQ(Piping-General)-1_SCHDULE 양식_DIRECT COST-GENECON 1-B_오만기계배관공사 공도구 소모품 견적현황-070412 - 2차" xfId="791" xr:uid="{00000000-0005-0000-0000-00001D030000}"/>
    <cellStyle name="t_Annex C-첨부 BOQ(Piping-General)_Annex C-BOQ(Piping-General)-1_SCHDULE 양식_견적서-QP LAB PROJECT(GENECON 1-A) BASE-4632(최종)" xfId="792" xr:uid="{00000000-0005-0000-0000-00001E030000}"/>
    <cellStyle name="t_Annex C-첨부 BOQ(Piping-General)_Annex C-BOQ(Piping-General)-1_SCHDULE 양식_견적서-QP LAB PROJECT(GENECON 1-A) BASE-4632(최종)_오만기계배관공사 공도구 소모품 견적현황" xfId="793" xr:uid="{00000000-0005-0000-0000-00001F030000}"/>
    <cellStyle name="t_Annex C-첨부 BOQ(Piping-General)_Annex C-BOQ(Piping-General)-1_SCHDULE 양식_견적서-QP LAB PROJECT(GENECON 1-A) BASE-4632(최종)_오만기계배관공사 공도구 소모품 견적현황-070412 - 2차" xfId="794" xr:uid="{00000000-0005-0000-0000-000020030000}"/>
    <cellStyle name="t_Annex C-첨부 BOQ(Piping-General)_Annex C-BOQ(Piping-General)-1_SCHDULE 양식_공사수행계획서 GC-19" xfId="795" xr:uid="{00000000-0005-0000-0000-000021030000}"/>
    <cellStyle name="t_Annex C-첨부 BOQ(Piping-General)_Annex C-BOQ(Piping-General)-1_SCHDULE 양식_공사수행계획서 GC-19_오만기계배관공사 공도구 소모품 견적현황" xfId="796" xr:uid="{00000000-0005-0000-0000-000022030000}"/>
    <cellStyle name="t_Annex C-첨부 BOQ(Piping-General)_Annex C-BOQ(Piping-General)-1_SCHDULE 양식_공사수행계획서 GC-19_오만기계배관공사 공도구 소모품 견적현황-070412 - 2차" xfId="797" xr:uid="{00000000-0005-0000-0000-000023030000}"/>
    <cellStyle name="t_Annex C-첨부 BOQ(Piping-General)_Annex C-BOQ(Piping-General)-1_SCHDULE 양식_오만기계배관공사 공도구 소모품 견적현황" xfId="798" xr:uid="{00000000-0005-0000-0000-000024030000}"/>
    <cellStyle name="t_Annex C-첨부 BOQ(Piping-General)_Annex C-BOQ(Piping-General)-1_SCHDULE 양식_오만기계배관공사 공도구 소모품 견적현황-070412 - 2차" xfId="799" xr:uid="{00000000-0005-0000-0000-000025030000}"/>
    <cellStyle name="t_Annex C-첨부 BOQ(Piping-General)_Annex C-BOQ(Piping-General)-1_SCHDULE 양식_이력서" xfId="800" xr:uid="{00000000-0005-0000-0000-000026030000}"/>
    <cellStyle name="t_Annex C-첨부 BOQ(Piping-General)_Annex C-BOQ(Piping-General)-1_SCHDULE 양식_이력서_오만기계배관공사 공도구 소모품 견적현황" xfId="801" xr:uid="{00000000-0005-0000-0000-000027030000}"/>
    <cellStyle name="t_Annex C-첨부 BOQ(Piping-General)_Annex C-BOQ(Piping-General)-1_SCHDULE 양식_이력서_오만기계배관공사 공도구 소모품 견적현황-070412 - 2차" xfId="802" xr:uid="{00000000-0005-0000-0000-000028030000}"/>
    <cellStyle name="t_Annex C-첨부 BOQ(Piping-General)_Annex C-BOQ(Piping-General)-1_견적서-QP LAB PROJECT(GENECON 1-A) BASE-4632(최종)" xfId="803" xr:uid="{00000000-0005-0000-0000-000029030000}"/>
    <cellStyle name="t_Annex C-첨부 BOQ(Piping-General)_Annex C-BOQ(Piping-General)-1_견적서-QP LAB PROJECT(GENECON 1-A) BASE-4632(최종)_오만기계배관공사 공도구 소모품 견적현황" xfId="804" xr:uid="{00000000-0005-0000-0000-00002A030000}"/>
    <cellStyle name="t_Annex C-첨부 BOQ(Piping-General)_Annex C-BOQ(Piping-General)-1_견적서-QP LAB PROJECT(GENECON 1-A) BASE-4632(최종)_오만기계배관공사 공도구 소모품 견적현황-070412 - 2차" xfId="805" xr:uid="{00000000-0005-0000-0000-00002B030000}"/>
    <cellStyle name="t_Annex C-첨부 BOQ(Piping-General)_Annex C-BOQ(Piping-General)-1_공사수행계획서" xfId="806" xr:uid="{00000000-0005-0000-0000-00002C030000}"/>
    <cellStyle name="t_Annex C-첨부 BOQ(Piping-General)_Annex C-BOQ(Piping-General)-1_공사수행계획서 GC-19" xfId="807" xr:uid="{00000000-0005-0000-0000-00002D030000}"/>
    <cellStyle name="t_Annex C-첨부 BOQ(Piping-General)_Annex C-BOQ(Piping-General)-1_공사수행계획서 GC-19_오만기계배관공사 공도구 소모품 견적현황" xfId="808" xr:uid="{00000000-0005-0000-0000-00002E030000}"/>
    <cellStyle name="t_Annex C-첨부 BOQ(Piping-General)_Annex C-BOQ(Piping-General)-1_공사수행계획서 GC-19_오만기계배관공사 공도구 소모품 견적현황-070412 - 2차" xfId="809" xr:uid="{00000000-0005-0000-0000-00002F030000}"/>
    <cellStyle name="t_Annex C-첨부 BOQ(Piping-General)_Annex C-BOQ(Piping-General)-1_공사수행계획서_오만기계배관공사 공도구 소모품 견적현황" xfId="810" xr:uid="{00000000-0005-0000-0000-000030030000}"/>
    <cellStyle name="t_Annex C-첨부 BOQ(Piping-General)_Annex C-BOQ(Piping-General)-1_공사수행계획서_오만기계배관공사 공도구 소모품 견적현황-070412 - 2차" xfId="811" xr:uid="{00000000-0005-0000-0000-000031030000}"/>
    <cellStyle name="t_Annex C-첨부 BOQ(Piping-General)_Annex C-BOQ(Piping-General)-1_수행계획서" xfId="812" xr:uid="{00000000-0005-0000-0000-000032030000}"/>
    <cellStyle name="t_Annex C-첨부 BOQ(Piping-General)_Annex C-BOQ(Piping-General)-1_수행계획서_Annex C-2 BOQ for Piping work" xfId="813" xr:uid="{00000000-0005-0000-0000-000033030000}"/>
    <cellStyle name="t_Annex C-첨부 BOQ(Piping-General)_Annex C-BOQ(Piping-General)-1_수행계획서_Annex C-2 BOQ for Piping work_오만기계배관공사 공도구 소모품 견적현황" xfId="814" xr:uid="{00000000-0005-0000-0000-000034030000}"/>
    <cellStyle name="t_Annex C-첨부 BOQ(Piping-General)_Annex C-BOQ(Piping-General)-1_수행계획서_Annex C-2 BOQ for Piping work_오만기계배관공사 공도구 소모품 견적현황-070412 - 2차" xfId="815" xr:uid="{00000000-0005-0000-0000-000035030000}"/>
    <cellStyle name="t_Annex C-첨부 BOQ(Piping-General)_Annex C-BOQ(Piping-General)-1_수행계획서_DIRECT COST-GENECON 1-B" xfId="816" xr:uid="{00000000-0005-0000-0000-000036030000}"/>
    <cellStyle name="t_Annex C-첨부 BOQ(Piping-General)_Annex C-BOQ(Piping-General)-1_수행계획서_DIRECT COST-GENECON 1-B_오만기계배관공사 공도구 소모품 견적현황" xfId="817" xr:uid="{00000000-0005-0000-0000-000037030000}"/>
    <cellStyle name="t_Annex C-첨부 BOQ(Piping-General)_Annex C-BOQ(Piping-General)-1_수행계획서_DIRECT COST-GENECON 1-B_오만기계배관공사 공도구 소모품 견적현황-070412 - 2차" xfId="818" xr:uid="{00000000-0005-0000-0000-000038030000}"/>
    <cellStyle name="t_Annex C-첨부 BOQ(Piping-General)_Annex C-BOQ(Piping-General)-1_수행계획서_SCHDULE 양식" xfId="819" xr:uid="{00000000-0005-0000-0000-000039030000}"/>
    <cellStyle name="t_Annex C-첨부 BOQ(Piping-General)_Annex C-BOQ(Piping-General)-1_수행계획서_SCHDULE 양식_Annex C-2 BOQ for Piping work" xfId="820" xr:uid="{00000000-0005-0000-0000-00003A030000}"/>
    <cellStyle name="t_Annex C-첨부 BOQ(Piping-General)_Annex C-BOQ(Piping-General)-1_수행계획서_SCHDULE 양식_Annex C-2 BOQ for Piping work_오만기계배관공사 공도구 소모품 견적현황" xfId="821" xr:uid="{00000000-0005-0000-0000-00003B030000}"/>
    <cellStyle name="t_Annex C-첨부 BOQ(Piping-General)_Annex C-BOQ(Piping-General)-1_수행계획서_SCHDULE 양식_Annex C-2 BOQ for Piping work_오만기계배관공사 공도구 소모품 견적현황-070412 - 2차" xfId="822" xr:uid="{00000000-0005-0000-0000-00003C030000}"/>
    <cellStyle name="t_Annex C-첨부 BOQ(Piping-General)_Annex C-BOQ(Piping-General)-1_수행계획서_SCHDULE 양식_DIRECT COST-GENECON 1-B" xfId="823" xr:uid="{00000000-0005-0000-0000-00003D030000}"/>
    <cellStyle name="t_Annex C-첨부 BOQ(Piping-General)_Annex C-BOQ(Piping-General)-1_수행계획서_SCHDULE 양식_DIRECT COST-GENECON 1-B_오만기계배관공사 공도구 소모품 견적현황" xfId="824" xr:uid="{00000000-0005-0000-0000-00003E030000}"/>
    <cellStyle name="t_Annex C-첨부 BOQ(Piping-General)_Annex C-BOQ(Piping-General)-1_수행계획서_SCHDULE 양식_DIRECT COST-GENECON 1-B_오만기계배관공사 공도구 소모품 견적현황-070412 - 2차" xfId="825" xr:uid="{00000000-0005-0000-0000-00003F030000}"/>
    <cellStyle name="t_Annex C-첨부 BOQ(Piping-General)_Annex C-BOQ(Piping-General)-1_수행계획서_SCHDULE 양식_견적서-QP LAB PROJECT(GENECON 1-A) BASE-4632(최종)" xfId="826" xr:uid="{00000000-0005-0000-0000-000040030000}"/>
    <cellStyle name="t_Annex C-첨부 BOQ(Piping-General)_Annex C-BOQ(Piping-General)-1_수행계획서_SCHDULE 양식_견적서-QP LAB PROJECT(GENECON 1-A) BASE-4632(최종)_오만기계배관공사 공도구 소모품 견적현황" xfId="827" xr:uid="{00000000-0005-0000-0000-000041030000}"/>
    <cellStyle name="t_Annex C-첨부 BOQ(Piping-General)_Annex C-BOQ(Piping-General)-1_수행계획서_SCHDULE 양식_견적서-QP LAB PROJECT(GENECON 1-A) BASE-4632(최종)_오만기계배관공사 공도구 소모품 견적현황-070412 - 2차" xfId="828" xr:uid="{00000000-0005-0000-0000-000042030000}"/>
    <cellStyle name="t_Annex C-첨부 BOQ(Piping-General)_Annex C-BOQ(Piping-General)-1_수행계획서_SCHDULE 양식_공사수행계획서 GC-19" xfId="829" xr:uid="{00000000-0005-0000-0000-000043030000}"/>
    <cellStyle name="t_Annex C-첨부 BOQ(Piping-General)_Annex C-BOQ(Piping-General)-1_수행계획서_SCHDULE 양식_공사수행계획서 GC-19_오만기계배관공사 공도구 소모품 견적현황" xfId="830" xr:uid="{00000000-0005-0000-0000-000044030000}"/>
    <cellStyle name="t_Annex C-첨부 BOQ(Piping-General)_Annex C-BOQ(Piping-General)-1_수행계획서_SCHDULE 양식_공사수행계획서 GC-19_오만기계배관공사 공도구 소모품 견적현황-070412 - 2차" xfId="831" xr:uid="{00000000-0005-0000-0000-000045030000}"/>
    <cellStyle name="t_Annex C-첨부 BOQ(Piping-General)_Annex C-BOQ(Piping-General)-1_수행계획서_SCHDULE 양식_오만기계배관공사 공도구 소모품 견적현황" xfId="832" xr:uid="{00000000-0005-0000-0000-000046030000}"/>
    <cellStyle name="t_Annex C-첨부 BOQ(Piping-General)_Annex C-BOQ(Piping-General)-1_수행계획서_SCHDULE 양식_오만기계배관공사 공도구 소모품 견적현황-070412 - 2차" xfId="833" xr:uid="{00000000-0005-0000-0000-000047030000}"/>
    <cellStyle name="t_Annex C-첨부 BOQ(Piping-General)_Annex C-BOQ(Piping-General)-1_수행계획서_SCHDULE 양식_이력서" xfId="834" xr:uid="{00000000-0005-0000-0000-000048030000}"/>
    <cellStyle name="t_Annex C-첨부 BOQ(Piping-General)_Annex C-BOQ(Piping-General)-1_수행계획서_SCHDULE 양식_이력서_오만기계배관공사 공도구 소모품 견적현황" xfId="835" xr:uid="{00000000-0005-0000-0000-000049030000}"/>
    <cellStyle name="t_Annex C-첨부 BOQ(Piping-General)_Annex C-BOQ(Piping-General)-1_수행계획서_SCHDULE 양식_이력서_오만기계배관공사 공도구 소모품 견적현황-070412 - 2차" xfId="836" xr:uid="{00000000-0005-0000-0000-00004A030000}"/>
    <cellStyle name="t_Annex C-첨부 BOQ(Piping-General)_Annex C-BOQ(Piping-General)-1_수행계획서_견적서-QP LAB PROJECT(GENECON 1-A) BASE-4632(최종)" xfId="837" xr:uid="{00000000-0005-0000-0000-00004B030000}"/>
    <cellStyle name="t_Annex C-첨부 BOQ(Piping-General)_Annex C-BOQ(Piping-General)-1_수행계획서_견적서-QP LAB PROJECT(GENECON 1-A) BASE-4632(최종)_오만기계배관공사 공도구 소모품 견적현황" xfId="838" xr:uid="{00000000-0005-0000-0000-00004C030000}"/>
    <cellStyle name="t_Annex C-첨부 BOQ(Piping-General)_Annex C-BOQ(Piping-General)-1_수행계획서_견적서-QP LAB PROJECT(GENECON 1-A) BASE-4632(최종)_오만기계배관공사 공도구 소모품 견적현황-070412 - 2차" xfId="839" xr:uid="{00000000-0005-0000-0000-00004D030000}"/>
    <cellStyle name="t_Annex C-첨부 BOQ(Piping-General)_Annex C-BOQ(Piping-General)-1_수행계획서_공사수행계획서 GC-19" xfId="840" xr:uid="{00000000-0005-0000-0000-00004E030000}"/>
    <cellStyle name="t_Annex C-첨부 BOQ(Piping-General)_Annex C-BOQ(Piping-General)-1_수행계획서_공사수행계획서 GC-19_오만기계배관공사 공도구 소모품 견적현황" xfId="841" xr:uid="{00000000-0005-0000-0000-00004F030000}"/>
    <cellStyle name="t_Annex C-첨부 BOQ(Piping-General)_Annex C-BOQ(Piping-General)-1_수행계획서_공사수행계획서 GC-19_오만기계배관공사 공도구 소모품 견적현황-070412 - 2차" xfId="842" xr:uid="{00000000-0005-0000-0000-000050030000}"/>
    <cellStyle name="t_Annex C-첨부 BOQ(Piping-General)_Annex C-BOQ(Piping-General)-1_수행계획서_오만기계배관공사 공도구 소모품 견적현황" xfId="843" xr:uid="{00000000-0005-0000-0000-000051030000}"/>
    <cellStyle name="t_Annex C-첨부 BOQ(Piping-General)_Annex C-BOQ(Piping-General)-1_수행계획서_오만기계배관공사 공도구 소모품 견적현황-070412 - 2차" xfId="844" xr:uid="{00000000-0005-0000-0000-000052030000}"/>
    <cellStyle name="t_Annex C-첨부 BOQ(Piping-General)_Annex C-BOQ(Piping-General)-1_수행계획서_이력서" xfId="845" xr:uid="{00000000-0005-0000-0000-000053030000}"/>
    <cellStyle name="t_Annex C-첨부 BOQ(Piping-General)_Annex C-BOQ(Piping-General)-1_수행계획서_이력서_오만기계배관공사 공도구 소모품 견적현황" xfId="846" xr:uid="{00000000-0005-0000-0000-000054030000}"/>
    <cellStyle name="t_Annex C-첨부 BOQ(Piping-General)_Annex C-BOQ(Piping-General)-1_수행계획서_이력서_오만기계배관공사 공도구 소모품 견적현황-070412 - 2차" xfId="847" xr:uid="{00000000-0005-0000-0000-000055030000}"/>
    <cellStyle name="t_Annex C-첨부 BOQ(Piping-General)_Annex C-BOQ(Piping-General)-1_오만기계배관공사 공도구 소모품 견적현황" xfId="848" xr:uid="{00000000-0005-0000-0000-000056030000}"/>
    <cellStyle name="t_Annex C-첨부 BOQ(Piping-General)_Annex C-BOQ(Piping-General)-1_오만기계배관공사 공도구 소모품 견적현황-070412 - 2차" xfId="849" xr:uid="{00000000-0005-0000-0000-000057030000}"/>
    <cellStyle name="t_Annex C-첨부 BOQ(Piping-General)_Annex C-BOQ(Piping-General)-1_이력서" xfId="850" xr:uid="{00000000-0005-0000-0000-000058030000}"/>
    <cellStyle name="t_Annex C-첨부 BOQ(Piping-General)_Annex C-BOQ(Piping-General)-1_이력서_오만기계배관공사 공도구 소모품 견적현황" xfId="851" xr:uid="{00000000-0005-0000-0000-000059030000}"/>
    <cellStyle name="t_Annex C-첨부 BOQ(Piping-General)_Annex C-BOQ(Piping-General)-1_이력서_오만기계배관공사 공도구 소모품 견적현황-070412 - 2차" xfId="852" xr:uid="{00000000-0005-0000-0000-00005A030000}"/>
    <cellStyle name="t_Annex C-첨부 BOQ(Piping-General)_Annex C-BOQ(Piping-General)-2" xfId="853" xr:uid="{00000000-0005-0000-0000-00005B030000}"/>
    <cellStyle name="t_Annex C-첨부 BOQ(Piping-General)_Annex C-BOQ(Piping-General)-2_Annex C-2 BOQ for Piping work" xfId="854" xr:uid="{00000000-0005-0000-0000-00005C030000}"/>
    <cellStyle name="t_Annex C-첨부 BOQ(Piping-General)_Annex C-BOQ(Piping-General)-2_Annex C-2 BOQ for Piping work_오만기계배관공사 공도구 소모품 견적현황" xfId="855" xr:uid="{00000000-0005-0000-0000-00005D030000}"/>
    <cellStyle name="t_Annex C-첨부 BOQ(Piping-General)_Annex C-BOQ(Piping-General)-2_Annex C-2 BOQ for Piping work_오만기계배관공사 공도구 소모품 견적현황-070412 - 2차" xfId="856" xr:uid="{00000000-0005-0000-0000-00005E030000}"/>
    <cellStyle name="t_Annex C-첨부 BOQ(Piping-General)_Annex C-BOQ(Piping-General)-2_Annex C-BOQ(Piping-General)" xfId="857" xr:uid="{00000000-0005-0000-0000-00005F030000}"/>
    <cellStyle name="t_Annex C-첨부 BOQ(Piping-General)_Annex C-BOQ(Piping-General)-2_Annex C-BOQ(Piping-General)_Annex C-2 BOQ for Piping work" xfId="858" xr:uid="{00000000-0005-0000-0000-000060030000}"/>
    <cellStyle name="t_Annex C-첨부 BOQ(Piping-General)_Annex C-BOQ(Piping-General)-2_Annex C-BOQ(Piping-General)_Annex C-2 BOQ for Piping work_오만기계배관공사 공도구 소모품 견적현황" xfId="859" xr:uid="{00000000-0005-0000-0000-000061030000}"/>
    <cellStyle name="t_Annex C-첨부 BOQ(Piping-General)_Annex C-BOQ(Piping-General)-2_Annex C-BOQ(Piping-General)_Annex C-2 BOQ for Piping work_오만기계배관공사 공도구 소모품 견적현황-070412 - 2차" xfId="860" xr:uid="{00000000-0005-0000-0000-000062030000}"/>
    <cellStyle name="t_Annex C-첨부 BOQ(Piping-General)_Annex C-BOQ(Piping-General)-2_Annex C-BOQ(Piping-General)_DIRECT COST-GENECON 1-B" xfId="861" xr:uid="{00000000-0005-0000-0000-000063030000}"/>
    <cellStyle name="t_Annex C-첨부 BOQ(Piping-General)_Annex C-BOQ(Piping-General)-2_Annex C-BOQ(Piping-General)_DIRECT COST-GENECON 1-B_오만기계배관공사 공도구 소모품 견적현황" xfId="862" xr:uid="{00000000-0005-0000-0000-000064030000}"/>
    <cellStyle name="t_Annex C-첨부 BOQ(Piping-General)_Annex C-BOQ(Piping-General)-2_Annex C-BOQ(Piping-General)_DIRECT COST-GENECON 1-B_오만기계배관공사 공도구 소모품 견적현황-070412 - 2차" xfId="863" xr:uid="{00000000-0005-0000-0000-000065030000}"/>
    <cellStyle name="t_Annex C-첨부 BOQ(Piping-General)_Annex C-BOQ(Piping-General)-2_Annex C-BOQ(Piping-General)_SCHDULE 양식" xfId="864" xr:uid="{00000000-0005-0000-0000-000066030000}"/>
    <cellStyle name="t_Annex C-첨부 BOQ(Piping-General)_Annex C-BOQ(Piping-General)-2_Annex C-BOQ(Piping-General)_SCHDULE 양식_Annex C-2 BOQ for Piping work" xfId="865" xr:uid="{00000000-0005-0000-0000-000067030000}"/>
    <cellStyle name="t_Annex C-첨부 BOQ(Piping-General)_Annex C-BOQ(Piping-General)-2_Annex C-BOQ(Piping-General)_SCHDULE 양식_Annex C-2 BOQ for Piping work_오만기계배관공사 공도구 소모품 견적현황" xfId="866" xr:uid="{00000000-0005-0000-0000-000068030000}"/>
    <cellStyle name="t_Annex C-첨부 BOQ(Piping-General)_Annex C-BOQ(Piping-General)-2_Annex C-BOQ(Piping-General)_SCHDULE 양식_Annex C-2 BOQ for Piping work_오만기계배관공사 공도구 소모품 견적현황-070412 - 2차" xfId="867" xr:uid="{00000000-0005-0000-0000-000069030000}"/>
    <cellStyle name="t_Annex C-첨부 BOQ(Piping-General)_Annex C-BOQ(Piping-General)-2_Annex C-BOQ(Piping-General)_SCHDULE 양식_DIRECT COST-GENECON 1-B" xfId="868" xr:uid="{00000000-0005-0000-0000-00006A030000}"/>
    <cellStyle name="t_Annex C-첨부 BOQ(Piping-General)_Annex C-BOQ(Piping-General)-2_Annex C-BOQ(Piping-General)_SCHDULE 양식_DIRECT COST-GENECON 1-B_오만기계배관공사 공도구 소모품 견적현황" xfId="869" xr:uid="{00000000-0005-0000-0000-00006B030000}"/>
    <cellStyle name="t_Annex C-첨부 BOQ(Piping-General)_Annex C-BOQ(Piping-General)-2_Annex C-BOQ(Piping-General)_SCHDULE 양식_DIRECT COST-GENECON 1-B_오만기계배관공사 공도구 소모품 견적현황-070412 - 2차" xfId="870" xr:uid="{00000000-0005-0000-0000-00006C030000}"/>
    <cellStyle name="t_Annex C-첨부 BOQ(Piping-General)_Annex C-BOQ(Piping-General)-2_Annex C-BOQ(Piping-General)_SCHDULE 양식_견적서-QP LAB PROJECT(GENECON 1-A) BASE-4632(최종)" xfId="871" xr:uid="{00000000-0005-0000-0000-00006D030000}"/>
    <cellStyle name="t_Annex C-첨부 BOQ(Piping-General)_Annex C-BOQ(Piping-General)-2_Annex C-BOQ(Piping-General)_SCHDULE 양식_견적서-QP LAB PROJECT(GENECON 1-A) BASE-4632(최종)_오만기계배관공사 공도구 소모품 견적현황" xfId="872" xr:uid="{00000000-0005-0000-0000-00006E030000}"/>
    <cellStyle name="t_Annex C-첨부 BOQ(Piping-General)_Annex C-BOQ(Piping-General)-2_Annex C-BOQ(Piping-General)_SCHDULE 양식_견적서-QP LAB PROJECT(GENECON 1-A) BASE-4632(최종)_오만기계배관공사 공도구 소모품 견적현황-070412 - 2차" xfId="873" xr:uid="{00000000-0005-0000-0000-00006F030000}"/>
    <cellStyle name="t_Annex C-첨부 BOQ(Piping-General)_Annex C-BOQ(Piping-General)-2_Annex C-BOQ(Piping-General)_SCHDULE 양식_공사수행계획서 GC-19" xfId="874" xr:uid="{00000000-0005-0000-0000-000070030000}"/>
    <cellStyle name="t_Annex C-첨부 BOQ(Piping-General)_Annex C-BOQ(Piping-General)-2_Annex C-BOQ(Piping-General)_SCHDULE 양식_공사수행계획서 GC-19_오만기계배관공사 공도구 소모품 견적현황" xfId="875" xr:uid="{00000000-0005-0000-0000-000071030000}"/>
    <cellStyle name="t_Annex C-첨부 BOQ(Piping-General)_Annex C-BOQ(Piping-General)-2_Annex C-BOQ(Piping-General)_SCHDULE 양식_공사수행계획서 GC-19_오만기계배관공사 공도구 소모품 견적현황-070412 - 2차" xfId="876" xr:uid="{00000000-0005-0000-0000-000072030000}"/>
    <cellStyle name="t_Annex C-첨부 BOQ(Piping-General)_Annex C-BOQ(Piping-General)-2_Annex C-BOQ(Piping-General)_SCHDULE 양식_오만기계배관공사 공도구 소모품 견적현황" xfId="877" xr:uid="{00000000-0005-0000-0000-000073030000}"/>
    <cellStyle name="t_Annex C-첨부 BOQ(Piping-General)_Annex C-BOQ(Piping-General)-2_Annex C-BOQ(Piping-General)_SCHDULE 양식_오만기계배관공사 공도구 소모품 견적현황-070412 - 2차" xfId="878" xr:uid="{00000000-0005-0000-0000-000074030000}"/>
    <cellStyle name="t_Annex C-첨부 BOQ(Piping-General)_Annex C-BOQ(Piping-General)-2_Annex C-BOQ(Piping-General)_SCHDULE 양식_이력서" xfId="879" xr:uid="{00000000-0005-0000-0000-000075030000}"/>
    <cellStyle name="t_Annex C-첨부 BOQ(Piping-General)_Annex C-BOQ(Piping-General)-2_Annex C-BOQ(Piping-General)_SCHDULE 양식_이력서_오만기계배관공사 공도구 소모품 견적현황" xfId="880" xr:uid="{00000000-0005-0000-0000-000076030000}"/>
    <cellStyle name="t_Annex C-첨부 BOQ(Piping-General)_Annex C-BOQ(Piping-General)-2_Annex C-BOQ(Piping-General)_SCHDULE 양식_이력서_오만기계배관공사 공도구 소모품 견적현황-070412 - 2차" xfId="881" xr:uid="{00000000-0005-0000-0000-000077030000}"/>
    <cellStyle name="t_Annex C-첨부 BOQ(Piping-General)_Annex C-BOQ(Piping-General)-2_Annex C-BOQ(Piping-General)_견적서-QP LAB PROJECT(GENECON 1-A) BASE-4632(최종)" xfId="882" xr:uid="{00000000-0005-0000-0000-000078030000}"/>
    <cellStyle name="t_Annex C-첨부 BOQ(Piping-General)_Annex C-BOQ(Piping-General)-2_Annex C-BOQ(Piping-General)_견적서-QP LAB PROJECT(GENECON 1-A) BASE-4632(최종)_오만기계배관공사 공도구 소모품 견적현황" xfId="883" xr:uid="{00000000-0005-0000-0000-000079030000}"/>
    <cellStyle name="t_Annex C-첨부 BOQ(Piping-General)_Annex C-BOQ(Piping-General)-2_Annex C-BOQ(Piping-General)_견적서-QP LAB PROJECT(GENECON 1-A) BASE-4632(최종)_오만기계배관공사 공도구 소모품 견적현황-070412 - 2차" xfId="884" xr:uid="{00000000-0005-0000-0000-00007A030000}"/>
    <cellStyle name="t_Annex C-첨부 BOQ(Piping-General)_Annex C-BOQ(Piping-General)-2_Annex C-BOQ(Piping-General)_공사수행계획서 GC-19" xfId="885" xr:uid="{00000000-0005-0000-0000-00007B030000}"/>
    <cellStyle name="t_Annex C-첨부 BOQ(Piping-General)_Annex C-BOQ(Piping-General)-2_Annex C-BOQ(Piping-General)_공사수행계획서 GC-19_오만기계배관공사 공도구 소모품 견적현황" xfId="886" xr:uid="{00000000-0005-0000-0000-00007C030000}"/>
    <cellStyle name="t_Annex C-첨부 BOQ(Piping-General)_Annex C-BOQ(Piping-General)-2_Annex C-BOQ(Piping-General)_공사수행계획서 GC-19_오만기계배관공사 공도구 소모품 견적현황-070412 - 2차" xfId="887" xr:uid="{00000000-0005-0000-0000-00007D030000}"/>
    <cellStyle name="t_Annex C-첨부 BOQ(Piping-General)_Annex C-BOQ(Piping-General)-2_Annex C-BOQ(Piping-General)_오만기계배관공사 공도구 소모품 견적현황" xfId="888" xr:uid="{00000000-0005-0000-0000-00007E030000}"/>
    <cellStyle name="t_Annex C-첨부 BOQ(Piping-General)_Annex C-BOQ(Piping-General)-2_Annex C-BOQ(Piping-General)_오만기계배관공사 공도구 소모품 견적현황-070412 - 2차" xfId="889" xr:uid="{00000000-0005-0000-0000-00007F030000}"/>
    <cellStyle name="t_Annex C-첨부 BOQ(Piping-General)_Annex C-BOQ(Piping-General)-2_Annex C-BOQ(Piping-General)_이력서" xfId="890" xr:uid="{00000000-0005-0000-0000-000080030000}"/>
    <cellStyle name="t_Annex C-첨부 BOQ(Piping-General)_Annex C-BOQ(Piping-General)-2_Annex C-BOQ(Piping-General)_이력서_오만기계배관공사 공도구 소모품 견적현황" xfId="891" xr:uid="{00000000-0005-0000-0000-000081030000}"/>
    <cellStyle name="t_Annex C-첨부 BOQ(Piping-General)_Annex C-BOQ(Piping-General)-2_Annex C-BOQ(Piping-General)_이력서_오만기계배관공사 공도구 소모품 견적현황-070412 - 2차" xfId="892" xr:uid="{00000000-0005-0000-0000-000082030000}"/>
    <cellStyle name="t_Annex C-첨부 BOQ(Piping-General)_Annex C-BOQ(Piping-General)-2_DIRECT COST-GENECON 1-B" xfId="893" xr:uid="{00000000-0005-0000-0000-000083030000}"/>
    <cellStyle name="t_Annex C-첨부 BOQ(Piping-General)_Annex C-BOQ(Piping-General)-2_DIRECT COST-GENECON 1-B_오만기계배관공사 공도구 소모품 견적현황" xfId="894" xr:uid="{00000000-0005-0000-0000-000084030000}"/>
    <cellStyle name="t_Annex C-첨부 BOQ(Piping-General)_Annex C-BOQ(Piping-General)-2_DIRECT COST-GENECON 1-B_오만기계배관공사 공도구 소모품 견적현황-070412 - 2차" xfId="895" xr:uid="{00000000-0005-0000-0000-000085030000}"/>
    <cellStyle name="t_Annex C-첨부 BOQ(Piping-General)_Annex C-BOQ(Piping-General)-2_SCHDULE 양식" xfId="896" xr:uid="{00000000-0005-0000-0000-000086030000}"/>
    <cellStyle name="t_Annex C-첨부 BOQ(Piping-General)_Annex C-BOQ(Piping-General)-2_SCHDULE 양식_Annex C-2 BOQ for Piping work" xfId="897" xr:uid="{00000000-0005-0000-0000-000087030000}"/>
    <cellStyle name="t_Annex C-첨부 BOQ(Piping-General)_Annex C-BOQ(Piping-General)-2_SCHDULE 양식_Annex C-2 BOQ for Piping work_오만기계배관공사 공도구 소모품 견적현황" xfId="898" xr:uid="{00000000-0005-0000-0000-000088030000}"/>
    <cellStyle name="t_Annex C-첨부 BOQ(Piping-General)_Annex C-BOQ(Piping-General)-2_SCHDULE 양식_Annex C-2 BOQ for Piping work_오만기계배관공사 공도구 소모품 견적현황-070412 - 2차" xfId="899" xr:uid="{00000000-0005-0000-0000-000089030000}"/>
    <cellStyle name="t_Annex C-첨부 BOQ(Piping-General)_Annex C-BOQ(Piping-General)-2_SCHDULE 양식_DIRECT COST-GENECON 1-B" xfId="900" xr:uid="{00000000-0005-0000-0000-00008A030000}"/>
    <cellStyle name="t_Annex C-첨부 BOQ(Piping-General)_Annex C-BOQ(Piping-General)-2_SCHDULE 양식_DIRECT COST-GENECON 1-B_오만기계배관공사 공도구 소모품 견적현황" xfId="901" xr:uid="{00000000-0005-0000-0000-00008B030000}"/>
    <cellStyle name="t_Annex C-첨부 BOQ(Piping-General)_Annex C-BOQ(Piping-General)-2_SCHDULE 양식_DIRECT COST-GENECON 1-B_오만기계배관공사 공도구 소모품 견적현황-070412 - 2차" xfId="902" xr:uid="{00000000-0005-0000-0000-00008C030000}"/>
    <cellStyle name="t_Annex C-첨부 BOQ(Piping-General)_Annex C-BOQ(Piping-General)-2_SCHDULE 양식_견적서-QP LAB PROJECT(GENECON 1-A) BASE-4632(최종)" xfId="903" xr:uid="{00000000-0005-0000-0000-00008D030000}"/>
    <cellStyle name="t_Annex C-첨부 BOQ(Piping-General)_Annex C-BOQ(Piping-General)-2_SCHDULE 양식_견적서-QP LAB PROJECT(GENECON 1-A) BASE-4632(최종)_오만기계배관공사 공도구 소모품 견적현황" xfId="904" xr:uid="{00000000-0005-0000-0000-00008E030000}"/>
    <cellStyle name="t_Annex C-첨부 BOQ(Piping-General)_Annex C-BOQ(Piping-General)-2_SCHDULE 양식_견적서-QP LAB PROJECT(GENECON 1-A) BASE-4632(최종)_오만기계배관공사 공도구 소모품 견적현황-070412 - 2차" xfId="905" xr:uid="{00000000-0005-0000-0000-00008F030000}"/>
    <cellStyle name="t_Annex C-첨부 BOQ(Piping-General)_Annex C-BOQ(Piping-General)-2_SCHDULE 양식_공사수행계획서 GC-19" xfId="906" xr:uid="{00000000-0005-0000-0000-000090030000}"/>
    <cellStyle name="t_Annex C-첨부 BOQ(Piping-General)_Annex C-BOQ(Piping-General)-2_SCHDULE 양식_공사수행계획서 GC-19_오만기계배관공사 공도구 소모품 견적현황" xfId="907" xr:uid="{00000000-0005-0000-0000-000091030000}"/>
    <cellStyle name="t_Annex C-첨부 BOQ(Piping-General)_Annex C-BOQ(Piping-General)-2_SCHDULE 양식_공사수행계획서 GC-19_오만기계배관공사 공도구 소모품 견적현황-070412 - 2차" xfId="908" xr:uid="{00000000-0005-0000-0000-000092030000}"/>
    <cellStyle name="t_Annex C-첨부 BOQ(Piping-General)_Annex C-BOQ(Piping-General)-2_SCHDULE 양식_오만기계배관공사 공도구 소모품 견적현황" xfId="909" xr:uid="{00000000-0005-0000-0000-000093030000}"/>
    <cellStyle name="t_Annex C-첨부 BOQ(Piping-General)_Annex C-BOQ(Piping-General)-2_SCHDULE 양식_오만기계배관공사 공도구 소모품 견적현황-070412 - 2차" xfId="910" xr:uid="{00000000-0005-0000-0000-000094030000}"/>
    <cellStyle name="t_Annex C-첨부 BOQ(Piping-General)_Annex C-BOQ(Piping-General)-2_SCHDULE 양식_이력서" xfId="911" xr:uid="{00000000-0005-0000-0000-000095030000}"/>
    <cellStyle name="t_Annex C-첨부 BOQ(Piping-General)_Annex C-BOQ(Piping-General)-2_SCHDULE 양식_이력서_오만기계배관공사 공도구 소모품 견적현황" xfId="912" xr:uid="{00000000-0005-0000-0000-000096030000}"/>
    <cellStyle name="t_Annex C-첨부 BOQ(Piping-General)_Annex C-BOQ(Piping-General)-2_SCHDULE 양식_이력서_오만기계배관공사 공도구 소모품 견적현황-070412 - 2차" xfId="913" xr:uid="{00000000-0005-0000-0000-000097030000}"/>
    <cellStyle name="t_Annex C-첨부 BOQ(Piping-General)_Annex C-BOQ(Piping-General)-2_견적서-QP LAB PROJECT(GENECON 1-A) BASE-4632(최종)" xfId="914" xr:uid="{00000000-0005-0000-0000-000098030000}"/>
    <cellStyle name="t_Annex C-첨부 BOQ(Piping-General)_Annex C-BOQ(Piping-General)-2_견적서-QP LAB PROJECT(GENECON 1-A) BASE-4632(최종)_오만기계배관공사 공도구 소모품 견적현황" xfId="915" xr:uid="{00000000-0005-0000-0000-000099030000}"/>
    <cellStyle name="t_Annex C-첨부 BOQ(Piping-General)_Annex C-BOQ(Piping-General)-2_견적서-QP LAB PROJECT(GENECON 1-A) BASE-4632(최종)_오만기계배관공사 공도구 소모품 견적현황-070412 - 2차" xfId="916" xr:uid="{00000000-0005-0000-0000-00009A030000}"/>
    <cellStyle name="t_Annex C-첨부 BOQ(Piping-General)_Annex C-BOQ(Piping-General)-2_공사수행계획서 GC-19" xfId="917" xr:uid="{00000000-0005-0000-0000-00009B030000}"/>
    <cellStyle name="t_Annex C-첨부 BOQ(Piping-General)_Annex C-BOQ(Piping-General)-2_공사수행계획서 GC-19_오만기계배관공사 공도구 소모품 견적현황" xfId="918" xr:uid="{00000000-0005-0000-0000-00009C030000}"/>
    <cellStyle name="t_Annex C-첨부 BOQ(Piping-General)_Annex C-BOQ(Piping-General)-2_공사수행계획서 GC-19_오만기계배관공사 공도구 소모품 견적현황-070412 - 2차" xfId="919" xr:uid="{00000000-0005-0000-0000-00009D030000}"/>
    <cellStyle name="t_Annex C-첨부 BOQ(Piping-General)_Annex C-BOQ(Piping-General)-2_오만기계배관공사 공도구 소모품 견적현황" xfId="920" xr:uid="{00000000-0005-0000-0000-00009E030000}"/>
    <cellStyle name="t_Annex C-첨부 BOQ(Piping-General)_Annex C-BOQ(Piping-General)-2_오만기계배관공사 공도구 소모품 견적현황-070412 - 2차" xfId="921" xr:uid="{00000000-0005-0000-0000-00009F030000}"/>
    <cellStyle name="t_Annex C-첨부 BOQ(Piping-General)_Annex C-BOQ(Piping-General)-2_이력서" xfId="922" xr:uid="{00000000-0005-0000-0000-0000A0030000}"/>
    <cellStyle name="t_Annex C-첨부 BOQ(Piping-General)_Annex C-BOQ(Piping-General)-2_이력서_오만기계배관공사 공도구 소모품 견적현황" xfId="923" xr:uid="{00000000-0005-0000-0000-0000A1030000}"/>
    <cellStyle name="t_Annex C-첨부 BOQ(Piping-General)_Annex C-BOQ(Piping-General)-2_이력서_오만기계배관공사 공도구 소모품 견적현황-070412 - 2차" xfId="924" xr:uid="{00000000-0005-0000-0000-0000A2030000}"/>
    <cellStyle name="t_Annex C-첨부 BOQ(Piping-General)_Book1" xfId="925" xr:uid="{00000000-0005-0000-0000-0000A3030000}"/>
    <cellStyle name="t_Annex C-첨부 BOQ(Piping-General)_Book1_Annex C-2 BOQ for Piping work" xfId="926" xr:uid="{00000000-0005-0000-0000-0000A4030000}"/>
    <cellStyle name="t_Annex C-첨부 BOQ(Piping-General)_Book1_Annex C-2 BOQ for Piping work_오만기계배관공사 공도구 소모품 견적현황" xfId="927" xr:uid="{00000000-0005-0000-0000-0000A5030000}"/>
    <cellStyle name="t_Annex C-첨부 BOQ(Piping-General)_Book1_Annex C-2 BOQ for Piping work_오만기계배관공사 공도구 소모품 견적현황-070412 - 2차" xfId="928" xr:uid="{00000000-0005-0000-0000-0000A6030000}"/>
    <cellStyle name="t_Annex C-첨부 BOQ(Piping-General)_Book1_DIRECT COST-GENECON 1-B" xfId="929" xr:uid="{00000000-0005-0000-0000-0000A7030000}"/>
    <cellStyle name="t_Annex C-첨부 BOQ(Piping-General)_Book1_DIRECT COST-GENECON 1-B_오만기계배관공사 공도구 소모품 견적현황" xfId="930" xr:uid="{00000000-0005-0000-0000-0000A8030000}"/>
    <cellStyle name="t_Annex C-첨부 BOQ(Piping-General)_Book1_DIRECT COST-GENECON 1-B_오만기계배관공사 공도구 소모품 견적현황-070412 - 2차" xfId="931" xr:uid="{00000000-0005-0000-0000-0000A9030000}"/>
    <cellStyle name="t_Annex C-첨부 BOQ(Piping-General)_Book1_SCHDULE 양식" xfId="932" xr:uid="{00000000-0005-0000-0000-0000AA030000}"/>
    <cellStyle name="t_Annex C-첨부 BOQ(Piping-General)_Book1_SCHDULE 양식_Annex C-2 BOQ for Piping work" xfId="933" xr:uid="{00000000-0005-0000-0000-0000AB030000}"/>
    <cellStyle name="t_Annex C-첨부 BOQ(Piping-General)_Book1_SCHDULE 양식_Annex C-2 BOQ for Piping work_오만기계배관공사 공도구 소모품 견적현황" xfId="934" xr:uid="{00000000-0005-0000-0000-0000AC030000}"/>
    <cellStyle name="t_Annex C-첨부 BOQ(Piping-General)_Book1_SCHDULE 양식_Annex C-2 BOQ for Piping work_오만기계배관공사 공도구 소모품 견적현황-070412 - 2차" xfId="935" xr:uid="{00000000-0005-0000-0000-0000AD030000}"/>
    <cellStyle name="t_Annex C-첨부 BOQ(Piping-General)_Book1_SCHDULE 양식_DIRECT COST-GENECON 1-B" xfId="936" xr:uid="{00000000-0005-0000-0000-0000AE030000}"/>
    <cellStyle name="t_Annex C-첨부 BOQ(Piping-General)_Book1_SCHDULE 양식_DIRECT COST-GENECON 1-B_오만기계배관공사 공도구 소모품 견적현황" xfId="937" xr:uid="{00000000-0005-0000-0000-0000AF030000}"/>
    <cellStyle name="t_Annex C-첨부 BOQ(Piping-General)_Book1_SCHDULE 양식_DIRECT COST-GENECON 1-B_오만기계배관공사 공도구 소모품 견적현황-070412 - 2차" xfId="938" xr:uid="{00000000-0005-0000-0000-0000B0030000}"/>
    <cellStyle name="t_Annex C-첨부 BOQ(Piping-General)_Book1_SCHDULE 양식_견적서-QP LAB PROJECT(GENECON 1-A) BASE-4632(최종)" xfId="939" xr:uid="{00000000-0005-0000-0000-0000B1030000}"/>
    <cellStyle name="t_Annex C-첨부 BOQ(Piping-General)_Book1_SCHDULE 양식_견적서-QP LAB PROJECT(GENECON 1-A) BASE-4632(최종)_오만기계배관공사 공도구 소모품 견적현황" xfId="940" xr:uid="{00000000-0005-0000-0000-0000B2030000}"/>
    <cellStyle name="t_Annex C-첨부 BOQ(Piping-General)_Book1_SCHDULE 양식_견적서-QP LAB PROJECT(GENECON 1-A) BASE-4632(최종)_오만기계배관공사 공도구 소모품 견적현황-070412 - 2차" xfId="941" xr:uid="{00000000-0005-0000-0000-0000B3030000}"/>
    <cellStyle name="t_Annex C-첨부 BOQ(Piping-General)_Book1_SCHDULE 양식_공사수행계획서 GC-19" xfId="942" xr:uid="{00000000-0005-0000-0000-0000B4030000}"/>
    <cellStyle name="t_Annex C-첨부 BOQ(Piping-General)_Book1_SCHDULE 양식_공사수행계획서 GC-19_오만기계배관공사 공도구 소모품 견적현황" xfId="943" xr:uid="{00000000-0005-0000-0000-0000B5030000}"/>
    <cellStyle name="t_Annex C-첨부 BOQ(Piping-General)_Book1_SCHDULE 양식_공사수행계획서 GC-19_오만기계배관공사 공도구 소모품 견적현황-070412 - 2차" xfId="944" xr:uid="{00000000-0005-0000-0000-0000B6030000}"/>
    <cellStyle name="t_Annex C-첨부 BOQ(Piping-General)_Book1_SCHDULE 양식_오만기계배관공사 공도구 소모품 견적현황" xfId="945" xr:uid="{00000000-0005-0000-0000-0000B7030000}"/>
    <cellStyle name="t_Annex C-첨부 BOQ(Piping-General)_Book1_SCHDULE 양식_오만기계배관공사 공도구 소모품 견적현황-070412 - 2차" xfId="946" xr:uid="{00000000-0005-0000-0000-0000B8030000}"/>
    <cellStyle name="t_Annex C-첨부 BOQ(Piping-General)_Book1_SCHDULE 양식_이력서" xfId="947" xr:uid="{00000000-0005-0000-0000-0000B9030000}"/>
    <cellStyle name="t_Annex C-첨부 BOQ(Piping-General)_Book1_SCHDULE 양식_이력서_오만기계배관공사 공도구 소모품 견적현황" xfId="948" xr:uid="{00000000-0005-0000-0000-0000BA030000}"/>
    <cellStyle name="t_Annex C-첨부 BOQ(Piping-General)_Book1_SCHDULE 양식_이력서_오만기계배관공사 공도구 소모품 견적현황-070412 - 2차" xfId="949" xr:uid="{00000000-0005-0000-0000-0000BB030000}"/>
    <cellStyle name="t_Annex C-첨부 BOQ(Piping-General)_Book1_견적서-QP LAB PROJECT(GENECON 1-A) BASE-4632(최종)" xfId="950" xr:uid="{00000000-0005-0000-0000-0000BC030000}"/>
    <cellStyle name="t_Annex C-첨부 BOQ(Piping-General)_Book1_견적서-QP LAB PROJECT(GENECON 1-A) BASE-4632(최종)_오만기계배관공사 공도구 소모품 견적현황" xfId="951" xr:uid="{00000000-0005-0000-0000-0000BD030000}"/>
    <cellStyle name="t_Annex C-첨부 BOQ(Piping-General)_Book1_견적서-QP LAB PROJECT(GENECON 1-A) BASE-4632(최종)_오만기계배관공사 공도구 소모품 견적현황-070412 - 2차" xfId="952" xr:uid="{00000000-0005-0000-0000-0000BE030000}"/>
    <cellStyle name="t_Annex C-첨부 BOQ(Piping-General)_Book1_공사수행계획서" xfId="953" xr:uid="{00000000-0005-0000-0000-0000BF030000}"/>
    <cellStyle name="t_Annex C-첨부 BOQ(Piping-General)_Book1_공사수행계획서 GC-19" xfId="954" xr:uid="{00000000-0005-0000-0000-0000C0030000}"/>
    <cellStyle name="t_Annex C-첨부 BOQ(Piping-General)_Book1_공사수행계획서 GC-19_오만기계배관공사 공도구 소모품 견적현황" xfId="955" xr:uid="{00000000-0005-0000-0000-0000C1030000}"/>
    <cellStyle name="t_Annex C-첨부 BOQ(Piping-General)_Book1_공사수행계획서 GC-19_오만기계배관공사 공도구 소모품 견적현황-070412 - 2차" xfId="956" xr:uid="{00000000-0005-0000-0000-0000C2030000}"/>
    <cellStyle name="t_Annex C-첨부 BOQ(Piping-General)_Book1_공사수행계획서_오만기계배관공사 공도구 소모품 견적현황" xfId="957" xr:uid="{00000000-0005-0000-0000-0000C3030000}"/>
    <cellStyle name="t_Annex C-첨부 BOQ(Piping-General)_Book1_공사수행계획서_오만기계배관공사 공도구 소모품 견적현황-070412 - 2차" xfId="958" xr:uid="{00000000-0005-0000-0000-0000C4030000}"/>
    <cellStyle name="t_Annex C-첨부 BOQ(Piping-General)_Book1_오만기계배관공사 공도구 소모품 견적현황" xfId="959" xr:uid="{00000000-0005-0000-0000-0000C5030000}"/>
    <cellStyle name="t_Annex C-첨부 BOQ(Piping-General)_Book1_오만기계배관공사 공도구 소모품 견적현황-070412 - 2차" xfId="960" xr:uid="{00000000-0005-0000-0000-0000C6030000}"/>
    <cellStyle name="t_Annex C-첨부 BOQ(Piping-General)_Book1_이력서" xfId="961" xr:uid="{00000000-0005-0000-0000-0000C7030000}"/>
    <cellStyle name="t_Annex C-첨부 BOQ(Piping-General)_Book1_이력서_오만기계배관공사 공도구 소모품 견적현황" xfId="962" xr:uid="{00000000-0005-0000-0000-0000C8030000}"/>
    <cellStyle name="t_Annex C-첨부 BOQ(Piping-General)_Book1_이력서_오만기계배관공사 공도구 소모품 견적현황-070412 - 2차" xfId="963" xr:uid="{00000000-0005-0000-0000-0000C9030000}"/>
    <cellStyle name="t_Annex C-첨부 BOQ(Piping-General)_DIRECT COST-GENECON 1-B" xfId="964" xr:uid="{00000000-0005-0000-0000-0000CA030000}"/>
    <cellStyle name="t_Annex C-첨부 BOQ(Piping-General)_DIRECT COST-GENECON 1-B_오만기계배관공사 공도구 소모품 견적현황" xfId="965" xr:uid="{00000000-0005-0000-0000-0000CB030000}"/>
    <cellStyle name="t_Annex C-첨부 BOQ(Piping-General)_DIRECT COST-GENECON 1-B_오만기계배관공사 공도구 소모품 견적현황-070412 - 2차" xfId="966" xr:uid="{00000000-0005-0000-0000-0000CC030000}"/>
    <cellStyle name="t_Annex C-첨부 BOQ(Piping-General)_SCHDULE 양식" xfId="967" xr:uid="{00000000-0005-0000-0000-0000CD030000}"/>
    <cellStyle name="t_Annex C-첨부 BOQ(Piping-General)_SCHDULE 양식_Annex C-2 BOQ for Piping work" xfId="968" xr:uid="{00000000-0005-0000-0000-0000CE030000}"/>
    <cellStyle name="t_Annex C-첨부 BOQ(Piping-General)_SCHDULE 양식_Annex C-2 BOQ for Piping work_오만기계배관공사 공도구 소모품 견적현황" xfId="969" xr:uid="{00000000-0005-0000-0000-0000CF030000}"/>
    <cellStyle name="t_Annex C-첨부 BOQ(Piping-General)_SCHDULE 양식_Annex C-2 BOQ for Piping work_오만기계배관공사 공도구 소모품 견적현황-070412 - 2차" xfId="970" xr:uid="{00000000-0005-0000-0000-0000D0030000}"/>
    <cellStyle name="t_Annex C-첨부 BOQ(Piping-General)_SCHDULE 양식_DIRECT COST-GENECON 1-B" xfId="971" xr:uid="{00000000-0005-0000-0000-0000D1030000}"/>
    <cellStyle name="t_Annex C-첨부 BOQ(Piping-General)_SCHDULE 양식_DIRECT COST-GENECON 1-B_오만기계배관공사 공도구 소모품 견적현황" xfId="972" xr:uid="{00000000-0005-0000-0000-0000D2030000}"/>
    <cellStyle name="t_Annex C-첨부 BOQ(Piping-General)_SCHDULE 양식_DIRECT COST-GENECON 1-B_오만기계배관공사 공도구 소모품 견적현황-070412 - 2차" xfId="973" xr:uid="{00000000-0005-0000-0000-0000D3030000}"/>
    <cellStyle name="t_Annex C-첨부 BOQ(Piping-General)_SCHDULE 양식_견적서-QP LAB PROJECT(GENECON 1-A) BASE-4632(최종)" xfId="974" xr:uid="{00000000-0005-0000-0000-0000D4030000}"/>
    <cellStyle name="t_Annex C-첨부 BOQ(Piping-General)_SCHDULE 양식_견적서-QP LAB PROJECT(GENECON 1-A) BASE-4632(최종)_오만기계배관공사 공도구 소모품 견적현황" xfId="975" xr:uid="{00000000-0005-0000-0000-0000D5030000}"/>
    <cellStyle name="t_Annex C-첨부 BOQ(Piping-General)_SCHDULE 양식_견적서-QP LAB PROJECT(GENECON 1-A) BASE-4632(최종)_오만기계배관공사 공도구 소모품 견적현황-070412 - 2차" xfId="976" xr:uid="{00000000-0005-0000-0000-0000D6030000}"/>
    <cellStyle name="t_Annex C-첨부 BOQ(Piping-General)_SCHDULE 양식_공사수행계획서 GC-19" xfId="977" xr:uid="{00000000-0005-0000-0000-0000D7030000}"/>
    <cellStyle name="t_Annex C-첨부 BOQ(Piping-General)_SCHDULE 양식_공사수행계획서 GC-19_오만기계배관공사 공도구 소모품 견적현황" xfId="978" xr:uid="{00000000-0005-0000-0000-0000D8030000}"/>
    <cellStyle name="t_Annex C-첨부 BOQ(Piping-General)_SCHDULE 양식_공사수행계획서 GC-19_오만기계배관공사 공도구 소모품 견적현황-070412 - 2차" xfId="979" xr:uid="{00000000-0005-0000-0000-0000D9030000}"/>
    <cellStyle name="t_Annex C-첨부 BOQ(Piping-General)_SCHDULE 양식_오만기계배관공사 공도구 소모품 견적현황" xfId="980" xr:uid="{00000000-0005-0000-0000-0000DA030000}"/>
    <cellStyle name="t_Annex C-첨부 BOQ(Piping-General)_SCHDULE 양식_오만기계배관공사 공도구 소모품 견적현황-070412 - 2차" xfId="981" xr:uid="{00000000-0005-0000-0000-0000DB030000}"/>
    <cellStyle name="t_Annex C-첨부 BOQ(Piping-General)_SCHDULE 양식_이력서" xfId="982" xr:uid="{00000000-0005-0000-0000-0000DC030000}"/>
    <cellStyle name="t_Annex C-첨부 BOQ(Piping-General)_SCHDULE 양식_이력서_오만기계배관공사 공도구 소모품 견적현황" xfId="983" xr:uid="{00000000-0005-0000-0000-0000DD030000}"/>
    <cellStyle name="t_Annex C-첨부 BOQ(Piping-General)_SCHDULE 양식_이력서_오만기계배관공사 공도구 소모품 견적현황-070412 - 2차" xfId="984" xr:uid="{00000000-0005-0000-0000-0000DE030000}"/>
    <cellStyle name="t_Annex C-첨부 BOQ(Piping-General)_견적서-QP LAB PROJECT(GENECON 1-A) BASE-4632(최종)" xfId="985" xr:uid="{00000000-0005-0000-0000-0000DF030000}"/>
    <cellStyle name="t_Annex C-첨부 BOQ(Piping-General)_견적서-QP LAB PROJECT(GENECON 1-A) BASE-4632(최종)_오만기계배관공사 공도구 소모품 견적현황" xfId="986" xr:uid="{00000000-0005-0000-0000-0000E0030000}"/>
    <cellStyle name="t_Annex C-첨부 BOQ(Piping-General)_견적서-QP LAB PROJECT(GENECON 1-A) BASE-4632(최종)_오만기계배관공사 공도구 소모품 견적현황-070412 - 2차" xfId="987" xr:uid="{00000000-0005-0000-0000-0000E1030000}"/>
    <cellStyle name="t_Annex C-첨부 BOQ(Piping-General)_공사수행계획서" xfId="988" xr:uid="{00000000-0005-0000-0000-0000E2030000}"/>
    <cellStyle name="t_Annex C-첨부 BOQ(Piping-General)_공사수행계획서 GC-19" xfId="989" xr:uid="{00000000-0005-0000-0000-0000E3030000}"/>
    <cellStyle name="t_Annex C-첨부 BOQ(Piping-General)_공사수행계획서 GC-19_오만기계배관공사 공도구 소모품 견적현황" xfId="990" xr:uid="{00000000-0005-0000-0000-0000E4030000}"/>
    <cellStyle name="t_Annex C-첨부 BOQ(Piping-General)_공사수행계획서 GC-19_오만기계배관공사 공도구 소모품 견적현황-070412 - 2차" xfId="991" xr:uid="{00000000-0005-0000-0000-0000E5030000}"/>
    <cellStyle name="t_Annex C-첨부 BOQ(Piping-General)_공사수행계획서_오만기계배관공사 공도구 소모품 견적현황" xfId="992" xr:uid="{00000000-0005-0000-0000-0000E6030000}"/>
    <cellStyle name="t_Annex C-첨부 BOQ(Piping-General)_공사수행계획서_오만기계배관공사 공도구 소모품 견적현황-070412 - 2차" xfId="993" xr:uid="{00000000-0005-0000-0000-0000E7030000}"/>
    <cellStyle name="t_Annex C-첨부 BOQ(Piping-General)_오만기계배관공사 공도구 소모품 견적현황" xfId="994" xr:uid="{00000000-0005-0000-0000-0000E8030000}"/>
    <cellStyle name="t_Annex C-첨부 BOQ(Piping-General)_오만기계배관공사 공도구 소모품 견적현황-070412 - 2차" xfId="995" xr:uid="{00000000-0005-0000-0000-0000E9030000}"/>
    <cellStyle name="t_Annex C-첨부 BOQ(Piping-General)_이력서" xfId="996" xr:uid="{00000000-0005-0000-0000-0000EA030000}"/>
    <cellStyle name="t_Annex C-첨부 BOQ(Piping-General)_이력서_오만기계배관공사 공도구 소모품 견적현황" xfId="997" xr:uid="{00000000-0005-0000-0000-0000EB030000}"/>
    <cellStyle name="t_Annex C-첨부 BOQ(Piping-General)_이력서_오만기계배관공사 공도구 소모품 견적현황-070412 - 2차" xfId="998" xr:uid="{00000000-0005-0000-0000-0000EC030000}"/>
    <cellStyle name="t_DIRECT COST-GENECON 1-B" xfId="999" xr:uid="{00000000-0005-0000-0000-0000ED030000}"/>
    <cellStyle name="t_DIRECT COST-GENECON 1-B_오만기계배관공사 공도구 소모품 견적현황" xfId="1000" xr:uid="{00000000-0005-0000-0000-0000EE030000}"/>
    <cellStyle name="t_DIRECT COST-GENECON 1-B_오만기계배관공사 공도구 소모품 견적현황-070412 - 2차" xfId="1001" xr:uid="{00000000-0005-0000-0000-0000EF030000}"/>
    <cellStyle name="t_SCHDULE 양식" xfId="1002" xr:uid="{00000000-0005-0000-0000-0000F0030000}"/>
    <cellStyle name="t_SCHDULE 양식_Annex C-2 BOQ for Piping work" xfId="1003" xr:uid="{00000000-0005-0000-0000-0000F1030000}"/>
    <cellStyle name="t_SCHDULE 양식_Annex C-2 BOQ for Piping work_오만기계배관공사 공도구 소모품 견적현황" xfId="1004" xr:uid="{00000000-0005-0000-0000-0000F2030000}"/>
    <cellStyle name="t_SCHDULE 양식_Annex C-2 BOQ for Piping work_오만기계배관공사 공도구 소모품 견적현황-070412 - 2차" xfId="1005" xr:uid="{00000000-0005-0000-0000-0000F3030000}"/>
    <cellStyle name="t_SCHDULE 양식_DIRECT COST-GENECON 1-B" xfId="1006" xr:uid="{00000000-0005-0000-0000-0000F4030000}"/>
    <cellStyle name="t_SCHDULE 양식_DIRECT COST-GENECON 1-B_오만기계배관공사 공도구 소모품 견적현황" xfId="1007" xr:uid="{00000000-0005-0000-0000-0000F5030000}"/>
    <cellStyle name="t_SCHDULE 양식_DIRECT COST-GENECON 1-B_오만기계배관공사 공도구 소모품 견적현황-070412 - 2차" xfId="1008" xr:uid="{00000000-0005-0000-0000-0000F6030000}"/>
    <cellStyle name="t_SCHDULE 양식_견적서-QP LAB PROJECT(GENECON 1-A) BASE-4632(최종)" xfId="1009" xr:uid="{00000000-0005-0000-0000-0000F7030000}"/>
    <cellStyle name="t_SCHDULE 양식_견적서-QP LAB PROJECT(GENECON 1-A) BASE-4632(최종)_오만기계배관공사 공도구 소모품 견적현황" xfId="1010" xr:uid="{00000000-0005-0000-0000-0000F8030000}"/>
    <cellStyle name="t_SCHDULE 양식_견적서-QP LAB PROJECT(GENECON 1-A) BASE-4632(최종)_오만기계배관공사 공도구 소모품 견적현황-070412 - 2차" xfId="1011" xr:uid="{00000000-0005-0000-0000-0000F9030000}"/>
    <cellStyle name="t_SCHDULE 양식_공사수행계획서 GC-19" xfId="1012" xr:uid="{00000000-0005-0000-0000-0000FA030000}"/>
    <cellStyle name="t_SCHDULE 양식_공사수행계획서 GC-19_오만기계배관공사 공도구 소모품 견적현황" xfId="1013" xr:uid="{00000000-0005-0000-0000-0000FB030000}"/>
    <cellStyle name="t_SCHDULE 양식_공사수행계획서 GC-19_오만기계배관공사 공도구 소모품 견적현황-070412 - 2차" xfId="1014" xr:uid="{00000000-0005-0000-0000-0000FC030000}"/>
    <cellStyle name="t_SCHDULE 양식_오만기계배관공사 공도구 소모품 견적현황" xfId="1015" xr:uid="{00000000-0005-0000-0000-0000FD030000}"/>
    <cellStyle name="t_SCHDULE 양식_오만기계배관공사 공도구 소모품 견적현황-070412 - 2차" xfId="1016" xr:uid="{00000000-0005-0000-0000-0000FE030000}"/>
    <cellStyle name="t_SCHDULE 양식_이력서" xfId="1017" xr:uid="{00000000-0005-0000-0000-0000FF030000}"/>
    <cellStyle name="t_SCHDULE 양식_이력서_오만기계배관공사 공도구 소모품 견적현황" xfId="1018" xr:uid="{00000000-0005-0000-0000-000000040000}"/>
    <cellStyle name="t_SCHDULE 양식_이력서_오만기계배관공사 공도구 소모품 견적현황-070412 - 2차" xfId="1019" xr:uid="{00000000-0005-0000-0000-000001040000}"/>
    <cellStyle name="t_견적서-QP LAB PROJECT(GENECON 1-A) BASE-4632(최종)" xfId="1020" xr:uid="{00000000-0005-0000-0000-000002040000}"/>
    <cellStyle name="t_견적서-QP LAB PROJECT(GENECON 1-A) BASE-4632(최종)_오만기계배관공사 공도구 소모품 견적현황" xfId="1021" xr:uid="{00000000-0005-0000-0000-000003040000}"/>
    <cellStyle name="t_견적서-QP LAB PROJECT(GENECON 1-A) BASE-4632(최종)_오만기계배관공사 공도구 소모품 견적현황-070412 - 2차" xfId="1022" xr:uid="{00000000-0005-0000-0000-000004040000}"/>
    <cellStyle name="t_공사수행계획서" xfId="1023" xr:uid="{00000000-0005-0000-0000-000005040000}"/>
    <cellStyle name="t_공사수행계획서 GC-19" xfId="1024" xr:uid="{00000000-0005-0000-0000-000006040000}"/>
    <cellStyle name="t_공사수행계획서 GC-19_오만기계배관공사 공도구 소모품 견적현황" xfId="1025" xr:uid="{00000000-0005-0000-0000-000007040000}"/>
    <cellStyle name="t_공사수행계획서 GC-19_오만기계배관공사 공도구 소모품 견적현황-070412 - 2차" xfId="1026" xr:uid="{00000000-0005-0000-0000-000008040000}"/>
    <cellStyle name="t_공사수행계획서_오만기계배관공사 공도구 소모품 견적현황" xfId="1027" xr:uid="{00000000-0005-0000-0000-000009040000}"/>
    <cellStyle name="t_공사수행계획서_오만기계배관공사 공도구 소모품 견적현황-070412 - 2차" xfId="1028" xr:uid="{00000000-0005-0000-0000-00000A040000}"/>
    <cellStyle name="t_수행계획서" xfId="1029" xr:uid="{00000000-0005-0000-0000-00000B040000}"/>
    <cellStyle name="t_수행계획서_Annex C-2 BOQ for Piping work" xfId="1030" xr:uid="{00000000-0005-0000-0000-00000C040000}"/>
    <cellStyle name="t_수행계획서_Annex C-2 BOQ for Piping work_오만기계배관공사 공도구 소모품 견적현황" xfId="1031" xr:uid="{00000000-0005-0000-0000-00000D040000}"/>
    <cellStyle name="t_수행계획서_Annex C-2 BOQ for Piping work_오만기계배관공사 공도구 소모품 견적현황-070412 - 2차" xfId="1032" xr:uid="{00000000-0005-0000-0000-00000E040000}"/>
    <cellStyle name="t_수행계획서_DIRECT COST-GENECON 1-B" xfId="1033" xr:uid="{00000000-0005-0000-0000-00000F040000}"/>
    <cellStyle name="t_수행계획서_DIRECT COST-GENECON 1-B_오만기계배관공사 공도구 소모품 견적현황" xfId="1034" xr:uid="{00000000-0005-0000-0000-000010040000}"/>
    <cellStyle name="t_수행계획서_DIRECT COST-GENECON 1-B_오만기계배관공사 공도구 소모품 견적현황-070412 - 2차" xfId="1035" xr:uid="{00000000-0005-0000-0000-000011040000}"/>
    <cellStyle name="t_수행계획서_SCHDULE 양식" xfId="1036" xr:uid="{00000000-0005-0000-0000-000012040000}"/>
    <cellStyle name="t_수행계획서_SCHDULE 양식_Annex C-2 BOQ for Piping work" xfId="1037" xr:uid="{00000000-0005-0000-0000-000013040000}"/>
    <cellStyle name="t_수행계획서_SCHDULE 양식_Annex C-2 BOQ for Piping work_오만기계배관공사 공도구 소모품 견적현황" xfId="1038" xr:uid="{00000000-0005-0000-0000-000014040000}"/>
    <cellStyle name="t_수행계획서_SCHDULE 양식_Annex C-2 BOQ for Piping work_오만기계배관공사 공도구 소모품 견적현황-070412 - 2차" xfId="1039" xr:uid="{00000000-0005-0000-0000-000015040000}"/>
    <cellStyle name="t_수행계획서_SCHDULE 양식_DIRECT COST-GENECON 1-B" xfId="1040" xr:uid="{00000000-0005-0000-0000-000016040000}"/>
    <cellStyle name="t_수행계획서_SCHDULE 양식_DIRECT COST-GENECON 1-B_오만기계배관공사 공도구 소모품 견적현황" xfId="1041" xr:uid="{00000000-0005-0000-0000-000017040000}"/>
    <cellStyle name="t_수행계획서_SCHDULE 양식_DIRECT COST-GENECON 1-B_오만기계배관공사 공도구 소모품 견적현황-070412 - 2차" xfId="1042" xr:uid="{00000000-0005-0000-0000-000018040000}"/>
    <cellStyle name="t_수행계획서_SCHDULE 양식_견적서-QP LAB PROJECT(GENECON 1-A) BASE-4632(최종)" xfId="1043" xr:uid="{00000000-0005-0000-0000-000019040000}"/>
    <cellStyle name="t_수행계획서_SCHDULE 양식_견적서-QP LAB PROJECT(GENECON 1-A) BASE-4632(최종)_오만기계배관공사 공도구 소모품 견적현황" xfId="1044" xr:uid="{00000000-0005-0000-0000-00001A040000}"/>
    <cellStyle name="t_수행계획서_SCHDULE 양식_견적서-QP LAB PROJECT(GENECON 1-A) BASE-4632(최종)_오만기계배관공사 공도구 소모품 견적현황-070412 - 2차" xfId="1045" xr:uid="{00000000-0005-0000-0000-00001B040000}"/>
    <cellStyle name="t_수행계획서_SCHDULE 양식_공사수행계획서 GC-19" xfId="1046" xr:uid="{00000000-0005-0000-0000-00001C040000}"/>
    <cellStyle name="t_수행계획서_SCHDULE 양식_공사수행계획서 GC-19_오만기계배관공사 공도구 소모품 견적현황" xfId="1047" xr:uid="{00000000-0005-0000-0000-00001D040000}"/>
    <cellStyle name="t_수행계획서_SCHDULE 양식_공사수행계획서 GC-19_오만기계배관공사 공도구 소모품 견적현황-070412 - 2차" xfId="1048" xr:uid="{00000000-0005-0000-0000-00001E040000}"/>
    <cellStyle name="t_수행계획서_SCHDULE 양식_오만기계배관공사 공도구 소모품 견적현황" xfId="1049" xr:uid="{00000000-0005-0000-0000-00001F040000}"/>
    <cellStyle name="t_수행계획서_SCHDULE 양식_오만기계배관공사 공도구 소모품 견적현황-070412 - 2차" xfId="1050" xr:uid="{00000000-0005-0000-0000-000020040000}"/>
    <cellStyle name="t_수행계획서_SCHDULE 양식_이력서" xfId="1051" xr:uid="{00000000-0005-0000-0000-000021040000}"/>
    <cellStyle name="t_수행계획서_SCHDULE 양식_이력서_오만기계배관공사 공도구 소모품 견적현황" xfId="1052" xr:uid="{00000000-0005-0000-0000-000022040000}"/>
    <cellStyle name="t_수행계획서_SCHDULE 양식_이력서_오만기계배관공사 공도구 소모품 견적현황-070412 - 2차" xfId="1053" xr:uid="{00000000-0005-0000-0000-000023040000}"/>
    <cellStyle name="t_수행계획서_견적서-QP LAB PROJECT(GENECON 1-A) BASE-4632(최종)" xfId="1054" xr:uid="{00000000-0005-0000-0000-000024040000}"/>
    <cellStyle name="t_수행계획서_견적서-QP LAB PROJECT(GENECON 1-A) BASE-4632(최종)_오만기계배관공사 공도구 소모품 견적현황" xfId="1055" xr:uid="{00000000-0005-0000-0000-000025040000}"/>
    <cellStyle name="t_수행계획서_견적서-QP LAB PROJECT(GENECON 1-A) BASE-4632(최종)_오만기계배관공사 공도구 소모품 견적현황-070412 - 2차" xfId="1056" xr:uid="{00000000-0005-0000-0000-000026040000}"/>
    <cellStyle name="t_수행계획서_공사수행계획서 GC-19" xfId="1057" xr:uid="{00000000-0005-0000-0000-000027040000}"/>
    <cellStyle name="t_수행계획서_공사수행계획서 GC-19_오만기계배관공사 공도구 소모품 견적현황" xfId="1058" xr:uid="{00000000-0005-0000-0000-000028040000}"/>
    <cellStyle name="t_수행계획서_공사수행계획서 GC-19_오만기계배관공사 공도구 소모품 견적현황-070412 - 2차" xfId="1059" xr:uid="{00000000-0005-0000-0000-000029040000}"/>
    <cellStyle name="t_수행계획서_오만기계배관공사 공도구 소모품 견적현황" xfId="1060" xr:uid="{00000000-0005-0000-0000-00002A040000}"/>
    <cellStyle name="t_수행계획서_오만기계배관공사 공도구 소모품 견적현황-070412 - 2차" xfId="1061" xr:uid="{00000000-0005-0000-0000-00002B040000}"/>
    <cellStyle name="t_수행계획서_이력서" xfId="1062" xr:uid="{00000000-0005-0000-0000-00002C040000}"/>
    <cellStyle name="t_수행계획서_이력서_오만기계배관공사 공도구 소모품 견적현황" xfId="1063" xr:uid="{00000000-0005-0000-0000-00002D040000}"/>
    <cellStyle name="t_수행계획서_이력서_오만기계배관공사 공도구 소모품 견적현황-070412 - 2차" xfId="1064" xr:uid="{00000000-0005-0000-0000-00002E040000}"/>
    <cellStyle name="t_오만기계배관공사 공도구 소모품 견적현황" xfId="1065" xr:uid="{00000000-0005-0000-0000-00002F040000}"/>
    <cellStyle name="t_오만기계배관공사 공도구 소모품 견적현황-070412 - 2차" xfId="1066" xr:uid="{00000000-0005-0000-0000-000030040000}"/>
    <cellStyle name="t_이력서" xfId="1067" xr:uid="{00000000-0005-0000-0000-000031040000}"/>
    <cellStyle name="t_이력서_오만기계배관공사 공도구 소모품 견적현황" xfId="1068" xr:uid="{00000000-0005-0000-0000-000032040000}"/>
    <cellStyle name="t_이력서_오만기계배관공사 공도구 소모품 견적현황-070412 - 2차" xfId="1069" xr:uid="{00000000-0005-0000-0000-000033040000}"/>
    <cellStyle name="t1" xfId="1070" xr:uid="{00000000-0005-0000-0000-000034040000}"/>
    <cellStyle name="t2" xfId="1071" xr:uid="{00000000-0005-0000-0000-000035040000}"/>
    <cellStyle name="t3" xfId="1072" xr:uid="{00000000-0005-0000-0000-000036040000}"/>
    <cellStyle name="Table  - 유형6" xfId="1073" xr:uid="{00000000-0005-0000-0000-000037040000}"/>
    <cellStyle name="Table  - 유형6 2" xfId="1238" xr:uid="{00000000-0005-0000-0000-000038040000}"/>
    <cellStyle name="tables" xfId="1074" xr:uid="{00000000-0005-0000-0000-000039040000}"/>
    <cellStyle name="TEMP" xfId="1075" xr:uid="{00000000-0005-0000-0000-00003A040000}"/>
    <cellStyle name="þ_x001d_ð'&amp;Oy?Hy9_x0008__x000f__x0007_æ_x0007__x0007__x0001__x0001_" xfId="1076" xr:uid="{00000000-0005-0000-0000-00003B040000}"/>
    <cellStyle name="þ_x001d_ð'&amp;Oy?Hy9_x0008_E_x000c_￠_x000d__x0007__x0001__x0001_" xfId="1077" xr:uid="{00000000-0005-0000-0000-00003C040000}"/>
    <cellStyle name="Title" xfId="1078" xr:uid="{00000000-0005-0000-0000-00003D040000}"/>
    <cellStyle name="Title  - 유형1" xfId="1079" xr:uid="{00000000-0005-0000-0000-00003E040000}"/>
    <cellStyle name="Title_(2010-02-18)  --  K-ONE구매물품-회차별LIST(전체)" xfId="1080" xr:uid="{00000000-0005-0000-0000-00003F040000}"/>
    <cellStyle name="Total" xfId="1081" xr:uid="{00000000-0005-0000-0000-000040040000}"/>
    <cellStyle name="TotCol - 유형5" xfId="1082" xr:uid="{00000000-0005-0000-0000-000041040000}"/>
    <cellStyle name="TotRow - 유형4" xfId="1083" xr:uid="{00000000-0005-0000-0000-000042040000}"/>
    <cellStyle name="TotRow - 유형4 2" xfId="1239" xr:uid="{00000000-0005-0000-0000-000043040000}"/>
    <cellStyle name="tt" xfId="1084" xr:uid="{00000000-0005-0000-0000-000044040000}"/>
    <cellStyle name="tt1" xfId="1085" xr:uid="{00000000-0005-0000-0000-000045040000}"/>
    <cellStyle name="tt1 2" xfId="1240" xr:uid="{00000000-0005-0000-0000-000046040000}"/>
    <cellStyle name="ttl" xfId="1086" xr:uid="{00000000-0005-0000-0000-000047040000}"/>
    <cellStyle name="tw" xfId="1087" xr:uid="{00000000-0005-0000-0000-000048040000}"/>
    <cellStyle name="t내용" xfId="1088" xr:uid="{00000000-0005-0000-0000-000049040000}"/>
    <cellStyle name="Währung [0]_spare_TPI_MCC" xfId="1089" xr:uid="{00000000-0005-0000-0000-00004A040000}"/>
    <cellStyle name="Währung_Sheet1" xfId="1090" xr:uid="{00000000-0005-0000-0000-00004B040000}"/>
    <cellStyle name="Warning Text" xfId="1091" xr:uid="{00000000-0005-0000-0000-00004C040000}"/>
    <cellStyle name="wrap" xfId="1092" xr:uid="{00000000-0005-0000-0000-00004D040000}"/>
    <cellStyle name="ƸōዊbǜōዚbǸōዪbɄōዺb쉀ōጊb쉬ōጚb슔ōጪb싀ōጺb쌐ōፊbɤōፚbʀō፪bʘō፺bʼōᎊb˜ō᎚b쌼ōᎪb쎄ōᎺb쎨ōᏊb쏄ōᏚb쏜ōᏪb̀ōᏺb̤ōᐊb͔ōᐚb΀ōᐪbΰōᐺb쏸ō" xfId="1093" xr:uid="{00000000-0005-0000-0000-00004E040000}"/>
    <cellStyle name="්b뉜ōේb뉼ō෪b늠ō෺b부ōชb붘ōบb붴ōสb뷄ōฺb뷘ō๊b닄ō๚b닜ō๪b닰ō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" xfId="1095" xr:uid="{00000000-0005-0000-0000-00004F040000}"/>
    <cellStyle name="เครื่องหมายจุลภาค [0]_Boiler_5 Power Plant2" xfId="1096" xr:uid="{00000000-0005-0000-0000-000050040000}"/>
    <cellStyle name="เครื่องหมายจุลภาค_Boiler_5 Power Plant2" xfId="1097" xr:uid="{00000000-0005-0000-0000-000051040000}"/>
    <cellStyle name="เครื่องหมายสกุลเงิน [0]_APP 2 - SEC 2 - LPG Mech" xfId="1098" xr:uid="{00000000-0005-0000-0000-000052040000}"/>
    <cellStyle name="เครื่องหมายสกุลเงิน_APP 2 - SEC 2 - LPG Mech" xfId="1099" xr:uid="{00000000-0005-0000-0000-000053040000}"/>
    <cellStyle name="ปกติ_APP 2 - SEC 2 - LPG Mech" xfId="1100" xr:uid="{00000000-0005-0000-0000-000054040000}"/>
    <cellStyle name="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" xfId="1101" xr:uid="{00000000-0005-0000-0000-000055040000}"/>
    <cellStyle name="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ōᢊb⅀ōᢚbⅸōᢪb⇐" xfId="1102" xr:uid="{00000000-0005-0000-0000-000056040000}"/>
    <cellStyle name="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" xfId="1103" xr:uid="{00000000-0005-0000-0000-000057040000}"/>
    <cellStyle name="ሚbôōሪbŀōሺbŨōቊbƀōቚb솴ōቪb쇌ōቺb쇬ōኊb숄ōኚb술ōኪbƜōኺbƸōዊbǜōዚbǸōዪbɄōዺb쉀ōጊb쉬ōጚb슔ōጪb싀ōጺb쌐ōፊbɤōፚbʀō፪bʘō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" xfId="1104" xr:uid="{00000000-0005-0000-0000-000058040000}"/>
    <cellStyle name="ꯠōකb갈ōඪb눠ōයb눸ō්b뉜ōේb뉼ō෪b늠ō෺b부ōชb붘ōบb붴ōสb뷄ōฺb뷘ō๊b닄ō๚b닜ō๪b닰ō๺b댜ōຊb댸ōບb뷬ōສb븄ō຺b블ō໊b븨ō໚b븼ō໪b덐ō໺b덠ō༊b델ō" xfId="1105" xr:uid="{00000000-0005-0000-0000-000059040000}"/>
    <cellStyle name="|?ドE" xfId="1106" xr:uid="{00000000-0005-0000-0000-00005A040000}"/>
    <cellStyle name="고정소숫점" xfId="1107" xr:uid="{00000000-0005-0000-0000-00005D040000}"/>
    <cellStyle name="고정소숫점 2" xfId="1108" xr:uid="{00000000-0005-0000-0000-00005E040000}"/>
    <cellStyle name="고정출력1" xfId="1109" xr:uid="{00000000-0005-0000-0000-00005F040000}"/>
    <cellStyle name="고정출력2" xfId="1110" xr:uid="{00000000-0005-0000-0000-000060040000}"/>
    <cellStyle name="공정제목" xfId="1111" xr:uid="{00000000-0005-0000-0000-000061040000}"/>
    <cellStyle name="관리비" xfId="1112" xr:uid="{00000000-0005-0000-0000-000062040000}"/>
    <cellStyle name="괄(계정)" xfId="1113" xr:uid="{00000000-0005-0000-0000-000063040000}"/>
    <cellStyle name="괄호" xfId="1114" xr:uid="{00000000-0005-0000-0000-000064040000}"/>
    <cellStyle name="괘선.." xfId="1115" xr:uid="{00000000-0005-0000-0000-000065040000}"/>
    <cellStyle name="괘선_" xfId="1116" xr:uid="{00000000-0005-0000-0000-000066040000}"/>
    <cellStyle name="끼_x0001_?" xfId="1117" xr:uid="{00000000-0005-0000-0000-000067040000}"/>
    <cellStyle name="끽방_inquiry_bq_hvac" xfId="1118" xr:uid="{00000000-0005-0000-0000-000068040000}"/>
    <cellStyle name="날짜" xfId="1119" xr:uid="{00000000-0005-0000-0000-000069040000}"/>
    <cellStyle name="달러" xfId="1120" xr:uid="{00000000-0005-0000-0000-00006A040000}"/>
    <cellStyle name="대기" xfId="1121" xr:uid="{00000000-0005-0000-0000-00006B040000}"/>
    <cellStyle name="델ō༚b뎔ō༪b뎬ō༺b빘ōཊb빰ōཚb뺌ōཪb뻘ōེb뻴ōྊb돌ōྚb돴ōྪb된ōྺb됸ō࿊b둔ō࿚b뼘ō࿪b뼸ō࿺b뽨ōညb뾔ōယb뿄ōဪb뒜ō်b뒸ō၊b듌ōၚb들ōၪb듸ōၺb뿴ōႊb쀐ō" xfId="1122" xr:uid="{00000000-0005-0000-0000-00006C040000}"/>
    <cellStyle name="둔ō࿚b뼘ō࿪b뼸ō࿺b뽨ōညb뾔ōယb뿄ōဪb뒜ō်b뒸ō၊b듌ōၚb들ōၪb듸ōၺb뿴ōႊb쀐ōႚb쀬ōႪb쁴ōႺb삐ō჊b딐ōლb따ōცb땔ōჺb땬ōᄊb떀ōᄚb산ōᄪb새ōᄺb샘ōᅋb샬ō" xfId="1123" xr:uid="{00000000-0005-0000-0000-00006D040000}"/>
    <cellStyle name="뒤에 오는 하이퍼링크" xfId="1124" xr:uid="{00000000-0005-0000-0000-00006E040000}"/>
    <cellStyle name="뒸ō၊b듌ōၚb들ōၪb듸ōၺb뿴ōႊb쀐ōႚb쀬ōႪb쁴ōႺb삐ō჊b딐ōლb따ōცb땔ōჺb땬ōᄊb떀ōᄚb산ōᄪb새ōᄺb샘ōᅋb샬ōᅛb샴ōᅪb_x000c_ōᅺb0ōᆊbXōᆚbōᆪb¨ōᆺb섄ō" xfId="1125" xr:uid="{00000000-0005-0000-0000-00006F040000}"/>
    <cellStyle name="딐ōლb따ōცb땔ōჺb땬ōᄊb떀ōᄚb산ōᄪb새ōᄺb샘ōᅋb샬ōᅛb샴ōᅪb_x000c_ōᅺb0ōᆊbXōᆚbōᆪb¨ōᆺb섄ōᇊb섰ōᇚb셌ōᇪb셨ōᇺb손ōሊbÌōሚbôōሪbŀōሺbŨōቊbƀō" xfId="1126" xr:uid="{00000000-0005-0000-0000-000070040000}"/>
    <cellStyle name="똿뗦먛귟 [0.00]_ACT LIST" xfId="1127" xr:uid="{00000000-0005-0000-0000-000071040000}"/>
    <cellStyle name="똿뗦먛귟_ACT LIST" xfId="1128" xr:uid="{00000000-0005-0000-0000-000072040000}"/>
    <cellStyle name="믅됞 [0.00]_ Att. 1- Cover" xfId="1129" xr:uid="{00000000-0005-0000-0000-000073040000}"/>
    <cellStyle name="믅됞_ Att. 1- Cover" xfId="1130" xr:uid="{00000000-0005-0000-0000-000074040000}"/>
    <cellStyle name="백분율 [0]" xfId="1131" xr:uid="{00000000-0005-0000-0000-000075040000}"/>
    <cellStyle name="백분율 2" xfId="1223" xr:uid="{00000000-0005-0000-0000-000076040000}"/>
    <cellStyle name="분수" xfId="1132" xr:uid="{00000000-0005-0000-0000-000077040000}"/>
    <cellStyle name="붘ōบb붴ōสb뷄ōฺb뷘ō๊b닄ō๚b닜ō๪b닰ō๺b댜ōຊb댸ōບb뷬ōສb븄ō຺b블ō໊b븨ō໚b븼ō໪b덐ō໺b덠ō༊b델ō༚b뎔ō༪b뎬ō༺b빘ōཊb빰ōཚb뺌ōཪb뻘ōེb뻴ōྊb돌ō" xfId="1133" xr:uid="{00000000-0005-0000-0000-000078040000}"/>
    <cellStyle name="뷭?_ Att. 1- Cover" xfId="1134" xr:uid="{00000000-0005-0000-0000-000079040000}"/>
    <cellStyle name="뷽?_Q1fcst_1_안전환경서약서 (2)" xfId="1135" xr:uid="{00000000-0005-0000-0000-00007A040000}"/>
    <cellStyle name="븨ō໚b븼ō໪b덐ō໺b덠ō༊b델ō༚b뎔ō༪b뎬ō༺b빘ōཊb빰ōཚb뺌ōཪb뻘ōེb뻴ōྊb돌ōྚb돴ōྪb된ōྺb됸ō࿊b둔ō࿚b뼘ō࿪b뼸ō࿺b뽨ōညb뾔ōယb뿄ōဪb뒜ō်b뒸ō၊b듌ō" xfId="1136" xr:uid="{00000000-0005-0000-0000-00007B040000}"/>
    <cellStyle name="뻴ōྊb돌ōྚb돴ōྪb된ōྺb됸ō࿊b둔ō࿚b뼘ō࿪b뼸ō࿺b뽨ōညb뾔ōယb뿄ōဪb뒜ō်b뒸ō၊b듌ōၚb들ōၪb듸ōၺb뿴ōႊb쀐ōႚb쀬ōႪb쁴ōႺb삐ō჊b딐ōლb따ōცb땔ōჺb땬ō" xfId="1137" xr:uid="{00000000-0005-0000-0000-00007C040000}"/>
    <cellStyle name="숫자(R)" xfId="1138" xr:uid="{00000000-0005-0000-0000-00007D040000}"/>
    <cellStyle name="숫자(R) 2" xfId="1139" xr:uid="{00000000-0005-0000-0000-00007E040000}"/>
    <cellStyle name="쉼표 [0] 2" xfId="2" xr:uid="{00000000-0005-0000-0000-00007F040000}"/>
    <cellStyle name="쉼표 [0] 2 2" xfId="1140" xr:uid="{00000000-0005-0000-0000-000080040000}"/>
    <cellStyle name="쉼표 [0] 2 2 2" xfId="1242" xr:uid="{00000000-0005-0000-0000-000081040000}"/>
    <cellStyle name="쉼표 [0] 2 3" xfId="1221" xr:uid="{00000000-0005-0000-0000-000082040000}"/>
    <cellStyle name="쉼표 [0] 2 3 2" xfId="1246" xr:uid="{00000000-0005-0000-0000-000083040000}"/>
    <cellStyle name="쉼표 [0] 2 4" xfId="1224" xr:uid="{00000000-0005-0000-0000-000084040000}"/>
    <cellStyle name="쉼표 [0] 2 5" xfId="1253" xr:uid="{00000000-0005-0000-0000-000085040000}"/>
    <cellStyle name="쉼표 [0] 3" xfId="1141" xr:uid="{00000000-0005-0000-0000-000086040000}"/>
    <cellStyle name="쉼표 [0] 3 2" xfId="1243" xr:uid="{00000000-0005-0000-0000-000087040000}"/>
    <cellStyle name="쉼표 [0] 4" xfId="1252" xr:uid="{00000000-0005-0000-0000-000088040000}"/>
    <cellStyle name="쉼표 2" xfId="1142" xr:uid="{00000000-0005-0000-0000-000089040000}"/>
    <cellStyle name="쉼표 2 2" xfId="1222" xr:uid="{00000000-0005-0000-0000-00008A040000}"/>
    <cellStyle name="쉼표 2 2 2" xfId="1247" xr:uid="{00000000-0005-0000-0000-00008B040000}"/>
    <cellStyle name="쉼표 2 3" xfId="1244" xr:uid="{00000000-0005-0000-0000-00008C040000}"/>
    <cellStyle name="쉼표 3" xfId="1094" xr:uid="{00000000-0005-0000-0000-00008D040000}"/>
    <cellStyle name="쉼표 3 2" xfId="1241" xr:uid="{00000000-0005-0000-0000-00008E040000}"/>
    <cellStyle name="스타일 1" xfId="1143" xr:uid="{00000000-0005-0000-0000-00008F040000}"/>
    <cellStyle name="스타일 10" xfId="1144" xr:uid="{00000000-0005-0000-0000-000090040000}"/>
    <cellStyle name="스타일 11" xfId="1145" xr:uid="{00000000-0005-0000-0000-000091040000}"/>
    <cellStyle name="스타일 12" xfId="1146" xr:uid="{00000000-0005-0000-0000-000092040000}"/>
    <cellStyle name="스타일 13" xfId="1147" xr:uid="{00000000-0005-0000-0000-000093040000}"/>
    <cellStyle name="스타일 14" xfId="1148" xr:uid="{00000000-0005-0000-0000-000094040000}"/>
    <cellStyle name="스타일 15" xfId="1149" xr:uid="{00000000-0005-0000-0000-000095040000}"/>
    <cellStyle name="스타일 16" xfId="1150" xr:uid="{00000000-0005-0000-0000-000096040000}"/>
    <cellStyle name="스타일 17" xfId="1151" xr:uid="{00000000-0005-0000-0000-000097040000}"/>
    <cellStyle name="스타일 18" xfId="1152" xr:uid="{00000000-0005-0000-0000-000098040000}"/>
    <cellStyle name="스타일 19" xfId="1153" xr:uid="{00000000-0005-0000-0000-000099040000}"/>
    <cellStyle name="스타일 2" xfId="1154" xr:uid="{00000000-0005-0000-0000-00009A040000}"/>
    <cellStyle name="스타일 20" xfId="1155" xr:uid="{00000000-0005-0000-0000-00009B040000}"/>
    <cellStyle name="스타일 21" xfId="1156" xr:uid="{00000000-0005-0000-0000-00009C040000}"/>
    <cellStyle name="스타일 22" xfId="1157" xr:uid="{00000000-0005-0000-0000-00009D040000}"/>
    <cellStyle name="스타일 23" xfId="1158" xr:uid="{00000000-0005-0000-0000-00009E040000}"/>
    <cellStyle name="스타일 3" xfId="1159" xr:uid="{00000000-0005-0000-0000-00009F040000}"/>
    <cellStyle name="스타일 4" xfId="1160" xr:uid="{00000000-0005-0000-0000-0000A0040000}"/>
    <cellStyle name="스타일 5" xfId="1161" xr:uid="{00000000-0005-0000-0000-0000A1040000}"/>
    <cellStyle name="스타일 6" xfId="1162" xr:uid="{00000000-0005-0000-0000-0000A2040000}"/>
    <cellStyle name="스타일 7" xfId="1163" xr:uid="{00000000-0005-0000-0000-0000A3040000}"/>
    <cellStyle name="스타일 8" xfId="1164" xr:uid="{00000000-0005-0000-0000-0000A4040000}"/>
    <cellStyle name="스타일 9" xfId="1165" xr:uid="{00000000-0005-0000-0000-0000A5040000}"/>
    <cellStyle name="안건회계법인" xfId="1166" xr:uid="{00000000-0005-0000-0000-0000A6040000}"/>
    <cellStyle name="열어본 하이퍼링크潳瑦作晦捩履⸸尰" xfId="1167" xr:uid="{00000000-0005-0000-0000-0000A7040000}"/>
    <cellStyle name="영표" xfId="1168" xr:uid="{00000000-0005-0000-0000-0000A8040000}"/>
    <cellStyle name="원" xfId="1169" xr:uid="{00000000-0005-0000-0000-0000A9040000}"/>
    <cellStyle name="원_5) 허SM (6-1)보고후(6-8)-MH수정" xfId="1170" xr:uid="{00000000-0005-0000-0000-0000AA040000}"/>
    <cellStyle name="월당월 (2)" xfId="1171" xr:uid="{00000000-0005-0000-0000-0000AB040000}"/>
    <cellStyle name="자리수" xfId="1172" xr:uid="{00000000-0005-0000-0000-0000AD040000}"/>
    <cellStyle name="자리수0" xfId="1173" xr:uid="{00000000-0005-0000-0000-0000AE040000}"/>
    <cellStyle name="자리수0 2" xfId="1174" xr:uid="{00000000-0005-0000-0000-0000AF040000}"/>
    <cellStyle name="줡" xfId="1175" xr:uid="{00000000-0005-0000-0000-0000B0040000}"/>
    <cellStyle name="지정되지 않음" xfId="1176" xr:uid="{00000000-0005-0000-0000-0000B1040000}"/>
    <cellStyle name="출 (한장)" xfId="1177" xr:uid="{00000000-0005-0000-0000-0000B7040000}"/>
    <cellStyle name="콤마 [0]_  종  합  " xfId="1178" xr:uid="{00000000-0005-0000-0000-0000B8040000}"/>
    <cellStyle name="콤마 [2]" xfId="1179" xr:uid="{00000000-0005-0000-0000-0000B9040000}"/>
    <cellStyle name="콤마 [20]" xfId="1180" xr:uid="{00000000-0005-0000-0000-0000BA040000}"/>
    <cellStyle name="콤마[1]" xfId="1181" xr:uid="{00000000-0005-0000-0000-0000BB040000}"/>
    <cellStyle name="콤마[3]" xfId="1182" xr:uid="{00000000-0005-0000-0000-0000BC040000}"/>
    <cellStyle name="콤마_  종  합  " xfId="1183" xr:uid="{00000000-0005-0000-0000-0000BD040000}"/>
    <cellStyle name="콤마쇔[0]_대총괄표 " xfId="1184" xr:uid="{00000000-0005-0000-0000-0000BE040000}"/>
    <cellStyle name="통화 [0] 2" xfId="1185" xr:uid="{00000000-0005-0000-0000-0000C0040000}"/>
    <cellStyle name="통화 [0] 2 2" xfId="1245" xr:uid="{00000000-0005-0000-0000-0000C1040000}"/>
    <cellStyle name="퍼센트" xfId="1186" xr:uid="{00000000-0005-0000-0000-0000C3040000}"/>
    <cellStyle name="표10" xfId="1187" xr:uid="{00000000-0005-0000-0000-0000C4040000}"/>
    <cellStyle name="표13" xfId="1188" xr:uid="{00000000-0005-0000-0000-0000C5040000}"/>
    <cellStyle name="표준 10" xfId="1189" xr:uid="{00000000-0005-0000-0000-0000C7040000}"/>
    <cellStyle name="표준 11" xfId="1190" xr:uid="{00000000-0005-0000-0000-0000C8040000}"/>
    <cellStyle name="표준 11 3" xfId="9" xr:uid="{00000000-0005-0000-0000-0000C9040000}"/>
    <cellStyle name="표준 18" xfId="1191" xr:uid="{00000000-0005-0000-0000-0000CA040000}"/>
    <cellStyle name="표준 2" xfId="1" xr:uid="{00000000-0005-0000-0000-0000CB040000}"/>
    <cellStyle name="표준 2 2" xfId="3" xr:uid="{00000000-0005-0000-0000-0000CC040000}"/>
    <cellStyle name="표준 2 2 2" xfId="1192" xr:uid="{00000000-0005-0000-0000-0000CD040000}"/>
    <cellStyle name="표준 2 3" xfId="1193" xr:uid="{00000000-0005-0000-0000-0000CE040000}"/>
    <cellStyle name="표준 2 4" xfId="1248" xr:uid="{00000000-0005-0000-0000-0000CF040000}"/>
    <cellStyle name="표준 2_(2010-02-18)  --  K-ONE구매물품-회차별LIST(전체)" xfId="1194" xr:uid="{00000000-0005-0000-0000-0000D0040000}"/>
    <cellStyle name="표준 3" xfId="1195" xr:uid="{00000000-0005-0000-0000-0000D1040000}"/>
    <cellStyle name="표준 3 2" xfId="1250" xr:uid="{00000000-0005-0000-0000-0000D2040000}"/>
    <cellStyle name="표준 4" xfId="1196" xr:uid="{00000000-0005-0000-0000-0000D3040000}"/>
    <cellStyle name="표준 5" xfId="1197" xr:uid="{00000000-0005-0000-0000-0000D4040000}"/>
    <cellStyle name="표준 6" xfId="1198" xr:uid="{00000000-0005-0000-0000-0000D5040000}"/>
    <cellStyle name="표준 7" xfId="1199" xr:uid="{00000000-0005-0000-0000-0000D6040000}"/>
    <cellStyle name="표준 8" xfId="1200" xr:uid="{00000000-0005-0000-0000-0000D7040000}"/>
    <cellStyle name="표준 9" xfId="1201" xr:uid="{00000000-0005-0000-0000-0000D8040000}"/>
    <cellStyle name="표준_pack-charger" xfId="4" xr:uid="{00000000-0005-0000-0000-0000DA040000}"/>
    <cellStyle name="표준_Valve list" xfId="5" xr:uid="{00000000-0005-0000-0000-0000DB040000}"/>
    <cellStyle name="표준영문" xfId="1202" xr:uid="{00000000-0005-0000-0000-0000DC040000}"/>
    <cellStyle name="하이퍼링크이퍼링크潳" xfId="1203" xr:uid="{00000000-0005-0000-0000-0000DD040000}"/>
    <cellStyle name="합산" xfId="1204" xr:uid="{00000000-0005-0000-0000-0000DE040000}"/>
    <cellStyle name="화폐기호" xfId="1205" xr:uid="{00000000-0005-0000-0000-0000E3040000}"/>
    <cellStyle name="화폐기호0" xfId="1206" xr:uid="{00000000-0005-0000-0000-0000E4040000}"/>
    <cellStyle name="화폐기호0 2" xfId="1207" xr:uid="{00000000-0005-0000-0000-0000E5040000}"/>
    <cellStyle name="一般_GARMENT STEP FORM HK" xfId="1208" xr:uid="{00000000-0005-0000-0000-0000AC040000}"/>
    <cellStyle name="千位分隔[0]_Invoice" xfId="6" xr:uid="{00000000-0005-0000-0000-0000B4040000}"/>
    <cellStyle name="千位分隔[0]_Invoice_4" xfId="7" xr:uid="{00000000-0005-0000-0000-0000B5040000}"/>
    <cellStyle name="千位分隔[0]_Sheet1" xfId="8" xr:uid="{00000000-0005-0000-0000-0000B6040000}"/>
    <cellStyle name="千分位[0]_GARMENT STEP FORM HK" xfId="1209" xr:uid="{00000000-0005-0000-0000-0000B2040000}"/>
    <cellStyle name="千分位_GARMENT STEP FORM HK" xfId="1210" xr:uid="{00000000-0005-0000-0000-0000B3040000}"/>
    <cellStyle name="桁区切り [0.00]_5000 Gene_Notes Inst r1" xfId="1211" xr:uid="{00000000-0005-0000-0000-0000DF040000}"/>
    <cellStyle name="桁区切り_5000 Gene_Notes Inst r1" xfId="1212" xr:uid="{00000000-0005-0000-0000-0000E0040000}"/>
    <cellStyle name="標準_ Att. 1- Cover" xfId="1213" xr:uid="{00000000-0005-0000-0000-0000D9040000}"/>
    <cellStyle name="訶택?12월당월" xfId="1214" xr:uid="{00000000-0005-0000-0000-00005B040000}"/>
    <cellStyle name="訶택?부문별" xfId="1215" xr:uid="{00000000-0005-0000-0000-00005C040000}"/>
    <cellStyle name="貨幣 [0]_GARMENT STEP FORM HK" xfId="1216" xr:uid="{00000000-0005-0000-0000-0000E1040000}"/>
    <cellStyle name="貨幣_GARMENT STEP FORM HK" xfId="1217" xr:uid="{00000000-0005-0000-0000-0000E2040000}"/>
    <cellStyle name="通貨 [0.00]_ Att. 1- Cover" xfId="1218" xr:uid="{00000000-0005-0000-0000-0000BF040000}"/>
    <cellStyle name="通貨_ Att. 1- Cover" xfId="1219" xr:uid="{00000000-0005-0000-0000-0000C2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17</xdr:row>
      <xdr:rowOff>0</xdr:rowOff>
    </xdr:from>
    <xdr:to>
      <xdr:col>25</xdr:col>
      <xdr:colOff>9525</xdr:colOff>
      <xdr:row>17</xdr:row>
      <xdr:rowOff>9525</xdr:rowOff>
    </xdr:to>
    <xdr:pic>
      <xdr:nvPicPr>
        <xdr:cNvPr id="2" name="Picture 1" descr="4559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72475" y="41148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85725</xdr:colOff>
      <xdr:row>460</xdr:row>
      <xdr:rowOff>133350</xdr:rowOff>
    </xdr:from>
    <xdr:to>
      <xdr:col>20</xdr:col>
      <xdr:colOff>104775</xdr:colOff>
      <xdr:row>463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B04E80-CF7F-6784-8F24-65CCA71C5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0" y="106241850"/>
          <a:ext cx="2143125" cy="704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17</xdr:col>
      <xdr:colOff>9525</xdr:colOff>
      <xdr:row>0</xdr:row>
      <xdr:rowOff>9525</xdr:rowOff>
    </xdr:to>
    <xdr:pic>
      <xdr:nvPicPr>
        <xdr:cNvPr id="2" name="Picture 1" descr="455927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05875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9525</xdr:colOff>
      <xdr:row>21</xdr:row>
      <xdr:rowOff>9525</xdr:rowOff>
    </xdr:to>
    <xdr:pic>
      <xdr:nvPicPr>
        <xdr:cNvPr id="3" name="Picture 2" descr="455927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05875" y="53721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9525</xdr:colOff>
      <xdr:row>17</xdr:row>
      <xdr:rowOff>9525</xdr:rowOff>
    </xdr:to>
    <xdr:pic>
      <xdr:nvPicPr>
        <xdr:cNvPr id="4" name="Picture 1" descr="455927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286875" y="41148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89;&#49689;\D\share\loss&#44228;&#49328;-TAWEELAH-msf-jan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57\zwhpl02\Users\sampar\Desktop\Documents%20and%20Settings\iris66\My%20Documents\&#47564;&#45380;&#45804;&#4714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57\zwhpl02\Users\sampar\Desktop\2014&#45380;%20&#50672;&#52264;_QA&#5401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lar bundle"/>
      <sheetName val="steam table"/>
      <sheetName val="loss계산-TAWEELAH-msf-jan6"/>
    </sheetNames>
    <sheetDataSet>
      <sheetData sheetId="0" refreshError="1"/>
      <sheetData sheetId="1" refreshError="1">
        <row r="5">
          <cell r="N5">
            <v>20</v>
          </cell>
          <cell r="O5">
            <v>2454.3000000000002</v>
          </cell>
          <cell r="P5">
            <v>21</v>
          </cell>
          <cell r="Q5">
            <v>2452</v>
          </cell>
        </row>
        <row r="6">
          <cell r="N6">
            <v>21</v>
          </cell>
          <cell r="O6">
            <v>2452</v>
          </cell>
          <cell r="P6">
            <v>22</v>
          </cell>
          <cell r="Q6">
            <v>2449.6</v>
          </cell>
        </row>
        <row r="7">
          <cell r="N7">
            <v>22</v>
          </cell>
          <cell r="O7">
            <v>2449.6</v>
          </cell>
          <cell r="P7">
            <v>23</v>
          </cell>
          <cell r="Q7">
            <v>2447.1999999999998</v>
          </cell>
        </row>
        <row r="8">
          <cell r="N8">
            <v>23</v>
          </cell>
          <cell r="O8">
            <v>2447.1999999999998</v>
          </cell>
          <cell r="P8">
            <v>24</v>
          </cell>
          <cell r="Q8">
            <v>2444.9</v>
          </cell>
        </row>
        <row r="9">
          <cell r="N9">
            <v>24</v>
          </cell>
          <cell r="O9">
            <v>2444.9</v>
          </cell>
          <cell r="P9">
            <v>25</v>
          </cell>
          <cell r="Q9">
            <v>2442.5</v>
          </cell>
        </row>
        <row r="10">
          <cell r="N10">
            <v>25</v>
          </cell>
          <cell r="O10">
            <v>2442.5</v>
          </cell>
          <cell r="P10">
            <v>26</v>
          </cell>
          <cell r="Q10">
            <v>2440.1999999999998</v>
          </cell>
        </row>
        <row r="11">
          <cell r="N11">
            <v>26</v>
          </cell>
          <cell r="O11">
            <v>2440.1999999999998</v>
          </cell>
          <cell r="P11">
            <v>27</v>
          </cell>
          <cell r="Q11">
            <v>2437.8000000000002</v>
          </cell>
        </row>
        <row r="12">
          <cell r="N12">
            <v>27</v>
          </cell>
          <cell r="O12">
            <v>2437.8000000000002</v>
          </cell>
          <cell r="P12">
            <v>28</v>
          </cell>
          <cell r="Q12">
            <v>2435.4</v>
          </cell>
        </row>
        <row r="13">
          <cell r="N13">
            <v>28</v>
          </cell>
          <cell r="O13">
            <v>2435.4</v>
          </cell>
          <cell r="P13">
            <v>29</v>
          </cell>
          <cell r="Q13">
            <v>2433.1</v>
          </cell>
        </row>
        <row r="14">
          <cell r="N14">
            <v>29</v>
          </cell>
          <cell r="O14">
            <v>2433.1</v>
          </cell>
          <cell r="P14">
            <v>30</v>
          </cell>
          <cell r="Q14">
            <v>2430.6999999999998</v>
          </cell>
        </row>
        <row r="15">
          <cell r="N15">
            <v>30</v>
          </cell>
          <cell r="O15">
            <v>2430.6999999999998</v>
          </cell>
          <cell r="P15">
            <v>31</v>
          </cell>
          <cell r="Q15">
            <v>2428.3000000000002</v>
          </cell>
        </row>
        <row r="16">
          <cell r="N16">
            <v>31</v>
          </cell>
          <cell r="O16">
            <v>2428.3000000000002</v>
          </cell>
          <cell r="P16">
            <v>32</v>
          </cell>
          <cell r="Q16">
            <v>2425.9</v>
          </cell>
        </row>
        <row r="17">
          <cell r="N17">
            <v>32</v>
          </cell>
          <cell r="O17">
            <v>2425.9</v>
          </cell>
          <cell r="P17">
            <v>33</v>
          </cell>
          <cell r="Q17">
            <v>2423.6</v>
          </cell>
        </row>
        <row r="18">
          <cell r="N18">
            <v>33</v>
          </cell>
          <cell r="O18">
            <v>2423.6</v>
          </cell>
          <cell r="P18">
            <v>34</v>
          </cell>
          <cell r="Q18">
            <v>2421.1999999999998</v>
          </cell>
        </row>
        <row r="19">
          <cell r="N19">
            <v>34</v>
          </cell>
          <cell r="O19">
            <v>2421.1999999999998</v>
          </cell>
          <cell r="P19">
            <v>35</v>
          </cell>
          <cell r="Q19">
            <v>2418.8000000000002</v>
          </cell>
        </row>
        <row r="20">
          <cell r="N20">
            <v>35</v>
          </cell>
          <cell r="O20">
            <v>2418.8000000000002</v>
          </cell>
          <cell r="P20">
            <v>36</v>
          </cell>
          <cell r="Q20">
            <v>2416.4</v>
          </cell>
        </row>
        <row r="21">
          <cell r="N21">
            <v>36</v>
          </cell>
          <cell r="O21">
            <v>2416.4</v>
          </cell>
          <cell r="P21">
            <v>37</v>
          </cell>
          <cell r="Q21">
            <v>2414.1</v>
          </cell>
        </row>
        <row r="22">
          <cell r="N22">
            <v>37</v>
          </cell>
          <cell r="O22">
            <v>2414.1</v>
          </cell>
          <cell r="P22">
            <v>38</v>
          </cell>
          <cell r="Q22">
            <v>2411.6999999999998</v>
          </cell>
        </row>
        <row r="23">
          <cell r="N23">
            <v>38</v>
          </cell>
          <cell r="O23">
            <v>2411.6999999999998</v>
          </cell>
          <cell r="P23">
            <v>39</v>
          </cell>
          <cell r="Q23">
            <v>2409.3000000000002</v>
          </cell>
        </row>
        <row r="24">
          <cell r="N24">
            <v>39</v>
          </cell>
          <cell r="O24">
            <v>2409.3000000000002</v>
          </cell>
          <cell r="P24">
            <v>40</v>
          </cell>
          <cell r="Q24">
            <v>2406.9</v>
          </cell>
        </row>
        <row r="25">
          <cell r="N25">
            <v>40</v>
          </cell>
          <cell r="O25">
            <v>2406.9</v>
          </cell>
          <cell r="P25">
            <v>41</v>
          </cell>
          <cell r="Q25">
            <v>2404.5</v>
          </cell>
        </row>
        <row r="26">
          <cell r="N26">
            <v>41</v>
          </cell>
          <cell r="O26">
            <v>2404.5</v>
          </cell>
          <cell r="P26">
            <v>42</v>
          </cell>
          <cell r="Q26">
            <v>2402.1</v>
          </cell>
        </row>
        <row r="27">
          <cell r="N27">
            <v>42</v>
          </cell>
          <cell r="O27">
            <v>2402.1</v>
          </cell>
          <cell r="P27">
            <v>43</v>
          </cell>
          <cell r="Q27">
            <v>2399.6999999999998</v>
          </cell>
        </row>
        <row r="28">
          <cell r="N28">
            <v>43</v>
          </cell>
          <cell r="O28">
            <v>2399.6999999999998</v>
          </cell>
          <cell r="P28">
            <v>44</v>
          </cell>
          <cell r="Q28">
            <v>2397.3000000000002</v>
          </cell>
        </row>
        <row r="29">
          <cell r="N29">
            <v>44</v>
          </cell>
          <cell r="O29">
            <v>2397.3000000000002</v>
          </cell>
          <cell r="P29">
            <v>45</v>
          </cell>
          <cell r="Q29">
            <v>2394.9</v>
          </cell>
        </row>
        <row r="30">
          <cell r="N30">
            <v>45</v>
          </cell>
          <cell r="O30">
            <v>2394.9</v>
          </cell>
          <cell r="P30">
            <v>46</v>
          </cell>
          <cell r="Q30">
            <v>2392.5</v>
          </cell>
        </row>
        <row r="31">
          <cell r="N31">
            <v>46</v>
          </cell>
          <cell r="O31">
            <v>2392.5</v>
          </cell>
          <cell r="P31">
            <v>47</v>
          </cell>
          <cell r="Q31">
            <v>2390.1</v>
          </cell>
        </row>
        <row r="32">
          <cell r="N32">
            <v>47</v>
          </cell>
          <cell r="O32">
            <v>2390.1</v>
          </cell>
          <cell r="P32">
            <v>48</v>
          </cell>
          <cell r="Q32">
            <v>2387.6999999999998</v>
          </cell>
        </row>
        <row r="33">
          <cell r="N33">
            <v>48</v>
          </cell>
          <cell r="O33">
            <v>2387.6999999999998</v>
          </cell>
          <cell r="P33">
            <v>49</v>
          </cell>
          <cell r="Q33">
            <v>2385.3000000000002</v>
          </cell>
        </row>
        <row r="34">
          <cell r="N34">
            <v>49</v>
          </cell>
          <cell r="O34">
            <v>2385.3000000000002</v>
          </cell>
          <cell r="P34">
            <v>50</v>
          </cell>
          <cell r="Q34">
            <v>2382.9</v>
          </cell>
        </row>
        <row r="35">
          <cell r="N35">
            <v>50</v>
          </cell>
          <cell r="O35">
            <v>2382.9</v>
          </cell>
          <cell r="P35">
            <v>51</v>
          </cell>
          <cell r="Q35">
            <v>2380.5</v>
          </cell>
        </row>
        <row r="36">
          <cell r="N36">
            <v>51</v>
          </cell>
          <cell r="O36">
            <v>2380.5</v>
          </cell>
          <cell r="P36">
            <v>52</v>
          </cell>
          <cell r="Q36">
            <v>2378.1</v>
          </cell>
        </row>
        <row r="37">
          <cell r="N37">
            <v>52</v>
          </cell>
          <cell r="O37">
            <v>2378.1</v>
          </cell>
          <cell r="P37">
            <v>53</v>
          </cell>
          <cell r="Q37">
            <v>2375.6999999999998</v>
          </cell>
        </row>
        <row r="38">
          <cell r="N38">
            <v>53</v>
          </cell>
          <cell r="O38">
            <v>2375.6999999999998</v>
          </cell>
          <cell r="P38">
            <v>54</v>
          </cell>
          <cell r="Q38">
            <v>2373.1999999999998</v>
          </cell>
        </row>
        <row r="39">
          <cell r="N39">
            <v>54</v>
          </cell>
          <cell r="O39">
            <v>2373.1999999999998</v>
          </cell>
          <cell r="P39">
            <v>55</v>
          </cell>
          <cell r="Q39">
            <v>2370.8000000000002</v>
          </cell>
        </row>
        <row r="40">
          <cell r="N40">
            <v>55</v>
          </cell>
          <cell r="O40">
            <v>2370.8000000000002</v>
          </cell>
          <cell r="P40">
            <v>56</v>
          </cell>
          <cell r="Q40">
            <v>2368.4</v>
          </cell>
        </row>
        <row r="41">
          <cell r="N41">
            <v>56</v>
          </cell>
          <cell r="O41">
            <v>2368.4</v>
          </cell>
          <cell r="P41">
            <v>57</v>
          </cell>
          <cell r="Q41">
            <v>2365.9</v>
          </cell>
        </row>
        <row r="42">
          <cell r="N42">
            <v>57</v>
          </cell>
          <cell r="O42">
            <v>2365.9</v>
          </cell>
          <cell r="P42">
            <v>58</v>
          </cell>
          <cell r="Q42">
            <v>2363.5</v>
          </cell>
        </row>
        <row r="43">
          <cell r="N43">
            <v>58</v>
          </cell>
          <cell r="O43">
            <v>2363.5</v>
          </cell>
          <cell r="P43">
            <v>59</v>
          </cell>
          <cell r="Q43">
            <v>2361.1</v>
          </cell>
        </row>
        <row r="44">
          <cell r="N44">
            <v>59</v>
          </cell>
          <cell r="O44">
            <v>2361.1</v>
          </cell>
          <cell r="P44">
            <v>60</v>
          </cell>
          <cell r="Q44">
            <v>2358.6</v>
          </cell>
        </row>
        <row r="45">
          <cell r="N45">
            <v>60</v>
          </cell>
          <cell r="O45">
            <v>2358.6</v>
          </cell>
          <cell r="P45">
            <v>61</v>
          </cell>
          <cell r="Q45">
            <v>2356.1999999999998</v>
          </cell>
        </row>
        <row r="46">
          <cell r="N46">
            <v>61</v>
          </cell>
          <cell r="O46">
            <v>2356.1999999999998</v>
          </cell>
          <cell r="P46">
            <v>62</v>
          </cell>
          <cell r="Q46">
            <v>2353.6999999999998</v>
          </cell>
        </row>
        <row r="47">
          <cell r="N47">
            <v>62</v>
          </cell>
          <cell r="O47">
            <v>2353.6999999999998</v>
          </cell>
          <cell r="P47">
            <v>63</v>
          </cell>
          <cell r="Q47">
            <v>2351.3000000000002</v>
          </cell>
        </row>
        <row r="48">
          <cell r="N48">
            <v>63</v>
          </cell>
          <cell r="O48">
            <v>2351.3000000000002</v>
          </cell>
          <cell r="P48">
            <v>64</v>
          </cell>
          <cell r="Q48">
            <v>2348.8000000000002</v>
          </cell>
        </row>
        <row r="49">
          <cell r="N49">
            <v>64</v>
          </cell>
          <cell r="O49">
            <v>2348.8000000000002</v>
          </cell>
          <cell r="P49">
            <v>65</v>
          </cell>
          <cell r="Q49">
            <v>2346.3000000000002</v>
          </cell>
        </row>
        <row r="50">
          <cell r="N50">
            <v>65</v>
          </cell>
          <cell r="O50">
            <v>2346.3000000000002</v>
          </cell>
          <cell r="P50">
            <v>66</v>
          </cell>
          <cell r="Q50">
            <v>2343.9</v>
          </cell>
        </row>
        <row r="51">
          <cell r="N51">
            <v>66</v>
          </cell>
          <cell r="O51">
            <v>2343.9</v>
          </cell>
          <cell r="P51">
            <v>67</v>
          </cell>
          <cell r="Q51">
            <v>2341.4</v>
          </cell>
        </row>
        <row r="52">
          <cell r="N52">
            <v>67</v>
          </cell>
          <cell r="O52">
            <v>2341.4</v>
          </cell>
          <cell r="P52">
            <v>68</v>
          </cell>
          <cell r="Q52">
            <v>2338.9</v>
          </cell>
        </row>
        <row r="53">
          <cell r="N53">
            <v>68</v>
          </cell>
          <cell r="O53">
            <v>2338.9</v>
          </cell>
          <cell r="P53">
            <v>69</v>
          </cell>
          <cell r="Q53">
            <v>2336.4</v>
          </cell>
        </row>
        <row r="54">
          <cell r="N54">
            <v>69</v>
          </cell>
          <cell r="O54">
            <v>2336.4</v>
          </cell>
          <cell r="P54">
            <v>70</v>
          </cell>
          <cell r="Q54">
            <v>2334</v>
          </cell>
        </row>
        <row r="55">
          <cell r="N55">
            <v>70</v>
          </cell>
          <cell r="O55">
            <v>2334</v>
          </cell>
          <cell r="P55">
            <v>71</v>
          </cell>
          <cell r="Q55">
            <v>2331.5</v>
          </cell>
        </row>
        <row r="56">
          <cell r="N56">
            <v>71</v>
          </cell>
          <cell r="O56">
            <v>2331.5</v>
          </cell>
          <cell r="P56">
            <v>72</v>
          </cell>
          <cell r="Q56">
            <v>2329</v>
          </cell>
        </row>
        <row r="57">
          <cell r="N57">
            <v>72</v>
          </cell>
          <cell r="O57">
            <v>2329</v>
          </cell>
          <cell r="P57">
            <v>73</v>
          </cell>
          <cell r="Q57">
            <v>2326.5</v>
          </cell>
        </row>
        <row r="58">
          <cell r="N58">
            <v>73</v>
          </cell>
          <cell r="O58">
            <v>2326.5</v>
          </cell>
          <cell r="P58">
            <v>74</v>
          </cell>
          <cell r="Q58">
            <v>2324</v>
          </cell>
        </row>
        <row r="59">
          <cell r="N59">
            <v>74</v>
          </cell>
          <cell r="O59">
            <v>2324</v>
          </cell>
          <cell r="P59">
            <v>75</v>
          </cell>
          <cell r="Q59">
            <v>2321.5</v>
          </cell>
        </row>
        <row r="60">
          <cell r="N60">
            <v>75</v>
          </cell>
          <cell r="O60">
            <v>2321.5</v>
          </cell>
          <cell r="P60">
            <v>76</v>
          </cell>
          <cell r="Q60">
            <v>2318.9</v>
          </cell>
        </row>
        <row r="61">
          <cell r="N61">
            <v>76</v>
          </cell>
          <cell r="O61">
            <v>2318.9</v>
          </cell>
          <cell r="P61">
            <v>77</v>
          </cell>
          <cell r="Q61">
            <v>2316.4</v>
          </cell>
        </row>
        <row r="62">
          <cell r="N62">
            <v>77</v>
          </cell>
          <cell r="O62">
            <v>2316.4</v>
          </cell>
          <cell r="P62">
            <v>78</v>
          </cell>
          <cell r="Q62">
            <v>2313.9</v>
          </cell>
        </row>
        <row r="63">
          <cell r="N63">
            <v>78</v>
          </cell>
          <cell r="O63">
            <v>2313.9</v>
          </cell>
          <cell r="P63">
            <v>79</v>
          </cell>
          <cell r="Q63">
            <v>2311.4</v>
          </cell>
        </row>
        <row r="64">
          <cell r="N64">
            <v>79</v>
          </cell>
          <cell r="O64">
            <v>2311.4</v>
          </cell>
          <cell r="P64">
            <v>80</v>
          </cell>
          <cell r="Q64">
            <v>2308.8000000000002</v>
          </cell>
        </row>
        <row r="65">
          <cell r="N65">
            <v>80</v>
          </cell>
          <cell r="O65">
            <v>2308.8000000000002</v>
          </cell>
          <cell r="P65">
            <v>81</v>
          </cell>
          <cell r="Q65">
            <v>2306.3000000000002</v>
          </cell>
        </row>
        <row r="66">
          <cell r="N66">
            <v>81</v>
          </cell>
          <cell r="O66">
            <v>2306.3000000000002</v>
          </cell>
          <cell r="P66">
            <v>82</v>
          </cell>
          <cell r="Q66">
            <v>2303.8000000000002</v>
          </cell>
        </row>
        <row r="67">
          <cell r="N67">
            <v>82</v>
          </cell>
          <cell r="O67">
            <v>2303.8000000000002</v>
          </cell>
          <cell r="P67">
            <v>83</v>
          </cell>
          <cell r="Q67">
            <v>2301.1999999999998</v>
          </cell>
        </row>
        <row r="68">
          <cell r="N68">
            <v>83</v>
          </cell>
          <cell r="O68">
            <v>2301.1999999999998</v>
          </cell>
          <cell r="P68">
            <v>84</v>
          </cell>
          <cell r="Q68">
            <v>2298.6999999999998</v>
          </cell>
        </row>
        <row r="69">
          <cell r="N69">
            <v>84</v>
          </cell>
          <cell r="O69">
            <v>2298.6999999999998</v>
          </cell>
          <cell r="P69">
            <v>85</v>
          </cell>
          <cell r="Q69">
            <v>2296.5</v>
          </cell>
        </row>
        <row r="70">
          <cell r="N70">
            <v>85</v>
          </cell>
          <cell r="O70">
            <v>2296.5</v>
          </cell>
          <cell r="P70">
            <v>86</v>
          </cell>
          <cell r="Q70">
            <v>2293.1</v>
          </cell>
        </row>
        <row r="71">
          <cell r="N71">
            <v>86</v>
          </cell>
          <cell r="O71">
            <v>2293.1</v>
          </cell>
          <cell r="P71">
            <v>87</v>
          </cell>
          <cell r="Q71">
            <v>2290.9</v>
          </cell>
        </row>
        <row r="72">
          <cell r="N72">
            <v>87</v>
          </cell>
          <cell r="O72">
            <v>2290.9</v>
          </cell>
          <cell r="P72">
            <v>88</v>
          </cell>
          <cell r="Q72">
            <v>2288.4</v>
          </cell>
        </row>
        <row r="73">
          <cell r="N73">
            <v>88</v>
          </cell>
          <cell r="O73">
            <v>2288.4</v>
          </cell>
          <cell r="P73">
            <v>89</v>
          </cell>
          <cell r="Q73">
            <v>2285.8000000000002</v>
          </cell>
        </row>
        <row r="74">
          <cell r="N74">
            <v>89</v>
          </cell>
          <cell r="O74">
            <v>2285.8000000000002</v>
          </cell>
          <cell r="P74">
            <v>90</v>
          </cell>
          <cell r="Q74">
            <v>2283.1999999999998</v>
          </cell>
        </row>
        <row r="75">
          <cell r="N75">
            <v>90</v>
          </cell>
          <cell r="O75">
            <v>2283.1999999999998</v>
          </cell>
          <cell r="P75">
            <v>91</v>
          </cell>
          <cell r="Q75">
            <v>2280.6</v>
          </cell>
        </row>
        <row r="76">
          <cell r="N76">
            <v>91</v>
          </cell>
          <cell r="O76">
            <v>2280.6</v>
          </cell>
          <cell r="P76">
            <v>92</v>
          </cell>
          <cell r="Q76">
            <v>2278</v>
          </cell>
        </row>
        <row r="77">
          <cell r="N77">
            <v>92</v>
          </cell>
          <cell r="O77">
            <v>2278</v>
          </cell>
          <cell r="P77">
            <v>93</v>
          </cell>
          <cell r="Q77">
            <v>2275.4</v>
          </cell>
        </row>
        <row r="78">
          <cell r="N78">
            <v>93</v>
          </cell>
          <cell r="O78">
            <v>2275.4</v>
          </cell>
          <cell r="P78">
            <v>94</v>
          </cell>
          <cell r="Q78">
            <v>2272.8000000000002</v>
          </cell>
        </row>
        <row r="79">
          <cell r="N79">
            <v>94</v>
          </cell>
          <cell r="O79">
            <v>2272.8000000000002</v>
          </cell>
          <cell r="P79">
            <v>95</v>
          </cell>
          <cell r="Q79">
            <v>2270.1999999999998</v>
          </cell>
        </row>
        <row r="80">
          <cell r="N80">
            <v>95</v>
          </cell>
          <cell r="O80">
            <v>2270.1999999999998</v>
          </cell>
          <cell r="P80">
            <v>96</v>
          </cell>
          <cell r="Q80">
            <v>2267.5</v>
          </cell>
        </row>
        <row r="81">
          <cell r="N81">
            <v>96</v>
          </cell>
          <cell r="O81">
            <v>2267.5</v>
          </cell>
          <cell r="P81">
            <v>97</v>
          </cell>
          <cell r="Q81">
            <v>2264.9</v>
          </cell>
        </row>
        <row r="82">
          <cell r="N82">
            <v>97</v>
          </cell>
          <cell r="O82">
            <v>2264.9</v>
          </cell>
          <cell r="P82">
            <v>98</v>
          </cell>
          <cell r="Q82">
            <v>2262.1999999999998</v>
          </cell>
        </row>
        <row r="83">
          <cell r="N83">
            <v>98</v>
          </cell>
          <cell r="O83">
            <v>2262.1999999999998</v>
          </cell>
          <cell r="P83">
            <v>99</v>
          </cell>
          <cell r="Q83">
            <v>2259.6</v>
          </cell>
        </row>
        <row r="84">
          <cell r="N84">
            <v>99</v>
          </cell>
          <cell r="O84">
            <v>2259.6</v>
          </cell>
          <cell r="P84">
            <v>100</v>
          </cell>
          <cell r="Q84">
            <v>2256.9</v>
          </cell>
        </row>
        <row r="85">
          <cell r="N85">
            <v>100</v>
          </cell>
          <cell r="O85">
            <v>2256.9</v>
          </cell>
          <cell r="P85">
            <v>101</v>
          </cell>
          <cell r="Q85">
            <v>2254.3000000000002</v>
          </cell>
        </row>
        <row r="86">
          <cell r="N86">
            <v>101</v>
          </cell>
          <cell r="O86">
            <v>2254.3000000000002</v>
          </cell>
          <cell r="P86">
            <v>102</v>
          </cell>
          <cell r="Q86">
            <v>2251.6</v>
          </cell>
        </row>
        <row r="87">
          <cell r="N87">
            <v>102</v>
          </cell>
          <cell r="O87">
            <v>2251.6</v>
          </cell>
          <cell r="P87">
            <v>103</v>
          </cell>
          <cell r="Q87">
            <v>2248.9</v>
          </cell>
        </row>
        <row r="88">
          <cell r="N88">
            <v>103</v>
          </cell>
          <cell r="O88">
            <v>2248.9</v>
          </cell>
          <cell r="P88">
            <v>104</v>
          </cell>
          <cell r="Q88">
            <v>2246.3000000000002</v>
          </cell>
        </row>
        <row r="89">
          <cell r="N89">
            <v>104</v>
          </cell>
          <cell r="O89">
            <v>2246.3000000000002</v>
          </cell>
          <cell r="P89">
            <v>105</v>
          </cell>
          <cell r="Q89">
            <v>2243.6</v>
          </cell>
        </row>
        <row r="90">
          <cell r="N90">
            <v>105</v>
          </cell>
          <cell r="O90">
            <v>2243.6</v>
          </cell>
          <cell r="P90">
            <v>106</v>
          </cell>
          <cell r="Q90">
            <v>2240.9</v>
          </cell>
        </row>
        <row r="91">
          <cell r="N91">
            <v>106</v>
          </cell>
          <cell r="O91">
            <v>2240.9</v>
          </cell>
          <cell r="P91">
            <v>107</v>
          </cell>
          <cell r="Q91">
            <v>2238.1999999999998</v>
          </cell>
        </row>
        <row r="92">
          <cell r="N92">
            <v>107</v>
          </cell>
          <cell r="O92">
            <v>2238.1999999999998</v>
          </cell>
          <cell r="P92">
            <v>108</v>
          </cell>
          <cell r="Q92">
            <v>2235.4</v>
          </cell>
        </row>
        <row r="93">
          <cell r="N93">
            <v>108</v>
          </cell>
          <cell r="O93">
            <v>2235.4</v>
          </cell>
          <cell r="P93">
            <v>109</v>
          </cell>
          <cell r="Q93">
            <v>2232.6999999999998</v>
          </cell>
        </row>
        <row r="94">
          <cell r="N94">
            <v>109</v>
          </cell>
          <cell r="O94">
            <v>2232.6999999999998</v>
          </cell>
          <cell r="P94">
            <v>110</v>
          </cell>
          <cell r="Q94">
            <v>2230</v>
          </cell>
        </row>
        <row r="95">
          <cell r="N95">
            <v>110</v>
          </cell>
          <cell r="O95">
            <v>2230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월별"/>
      <sheetName val="년간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</sheetNames>
    <sheetDataSet>
      <sheetData sheetId="0" refreshError="1"/>
      <sheetData sheetId="1">
        <row r="2">
          <cell r="G2">
            <v>2009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_OT "/>
      <sheetName val="QA팀_2014년"/>
      <sheetName val="QA팀-2013년"/>
      <sheetName val="월별"/>
    </sheetNames>
    <sheetDataSet>
      <sheetData sheetId="0"/>
      <sheetData sheetId="1"/>
      <sheetData sheetId="2"/>
      <sheetData sheetId="3">
        <row r="4">
          <cell r="B4">
            <v>41640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C000"/>
  </sheetPr>
  <dimension ref="A1:AA894"/>
  <sheetViews>
    <sheetView showGridLines="0" tabSelected="1" view="pageBreakPreview" zoomScaleNormal="100" zoomScaleSheetLayoutView="100" workbookViewId="0">
      <pane ySplit="1" topLeftCell="A35" activePane="bottomLeft" state="frozen"/>
      <selection activeCell="T128" sqref="T128"/>
      <selection pane="bottomLeft" activeCell="AC12" sqref="AC12"/>
    </sheetView>
  </sheetViews>
  <sheetFormatPr defaultColWidth="8.42578125" defaultRowHeight="12.75"/>
  <cols>
    <col min="1" max="1" width="9.7109375" style="1" customWidth="1"/>
    <col min="2" max="2" width="3.7109375" style="1" customWidth="1"/>
    <col min="3" max="3" width="1.7109375" style="1" customWidth="1"/>
    <col min="4" max="4" width="3.5703125" style="1" customWidth="1"/>
    <col min="5" max="5" width="9.42578125" style="1" customWidth="1"/>
    <col min="6" max="10" width="5.28515625" style="1" customWidth="1"/>
    <col min="11" max="11" width="3.42578125" style="1" customWidth="1"/>
    <col min="12" max="12" width="8.5703125" style="1" customWidth="1"/>
    <col min="13" max="13" width="3" style="1" customWidth="1"/>
    <col min="14" max="14" width="3.28515625" style="65" customWidth="1"/>
    <col min="15" max="15" width="1.5703125" style="1" customWidth="1"/>
    <col min="16" max="16" width="6.28515625" style="79" customWidth="1"/>
    <col min="17" max="17" width="3" style="1" customWidth="1"/>
    <col min="18" max="18" width="16.5703125" style="49" customWidth="1"/>
    <col min="19" max="19" width="5.85546875" style="1" customWidth="1"/>
    <col min="20" max="20" width="9.42578125" style="1" bestFit="1" customWidth="1"/>
    <col min="21" max="21" width="7.42578125" style="83" customWidth="1"/>
    <col min="22" max="22" width="4.140625" style="84" customWidth="1"/>
    <col min="23" max="23" width="7.7109375" style="1" customWidth="1"/>
    <col min="24" max="24" width="3.7109375" style="85" customWidth="1"/>
    <col min="25" max="25" width="14.42578125" style="85" customWidth="1"/>
    <col min="26" max="26" width="12.28515625" style="3" customWidth="1"/>
    <col min="27" max="27" width="8.42578125" style="1" customWidth="1"/>
    <col min="28" max="16384" width="8.42578125" style="1"/>
  </cols>
  <sheetData>
    <row r="1" spans="1:26" ht="45" customHeight="1">
      <c r="A1" s="310" t="s">
        <v>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2"/>
      <c r="Z1" s="313"/>
    </row>
    <row r="2" spans="1:26" ht="18" customHeight="1">
      <c r="A2" s="163" t="s">
        <v>1</v>
      </c>
      <c r="B2" s="164"/>
      <c r="C2" s="164"/>
      <c r="D2" s="165"/>
      <c r="E2" s="165"/>
      <c r="F2" s="165"/>
      <c r="G2" s="165"/>
      <c r="H2" s="165"/>
      <c r="I2" s="165"/>
      <c r="J2" s="165"/>
      <c r="K2" s="165"/>
      <c r="L2" s="165"/>
      <c r="M2" s="201" t="s">
        <v>2</v>
      </c>
      <c r="N2" s="202"/>
      <c r="O2" s="165"/>
      <c r="P2" s="203"/>
      <c r="Q2" s="204"/>
      <c r="R2" s="164"/>
      <c r="S2" s="168"/>
      <c r="T2" s="4"/>
      <c r="U2" s="4"/>
      <c r="V2" s="4"/>
      <c r="W2" s="4"/>
      <c r="X2" s="132"/>
      <c r="Y2" s="261"/>
      <c r="Z2" s="136"/>
    </row>
    <row r="3" spans="1:26" ht="18" customHeight="1">
      <c r="A3" s="314" t="s">
        <v>135</v>
      </c>
      <c r="B3" s="315"/>
      <c r="C3" s="315"/>
      <c r="D3" s="315"/>
      <c r="E3" s="315"/>
      <c r="F3" s="315"/>
      <c r="G3" s="315"/>
      <c r="H3" s="315"/>
      <c r="I3" s="315"/>
      <c r="J3" s="315"/>
      <c r="K3" s="6"/>
      <c r="L3" s="6"/>
      <c r="M3" s="153" t="s">
        <v>901</v>
      </c>
      <c r="N3" s="205"/>
      <c r="O3" s="6"/>
      <c r="P3" s="7"/>
      <c r="Q3" s="8"/>
      <c r="R3" s="8"/>
      <c r="S3" s="9"/>
      <c r="T3" s="10"/>
      <c r="U3" s="11"/>
      <c r="V3" s="12"/>
      <c r="W3" s="12"/>
      <c r="X3" s="1"/>
      <c r="Y3" s="1"/>
      <c r="Z3" s="137"/>
    </row>
    <row r="4" spans="1:26" ht="18" customHeight="1">
      <c r="A4" s="316" t="s">
        <v>735</v>
      </c>
      <c r="B4" s="317"/>
      <c r="C4" s="317"/>
      <c r="D4" s="317"/>
      <c r="E4" s="317"/>
      <c r="F4" s="317"/>
      <c r="G4" s="317"/>
      <c r="H4" s="317"/>
      <c r="I4" s="317"/>
      <c r="J4" s="317"/>
      <c r="K4" s="317"/>
      <c r="L4" s="6"/>
      <c r="M4" s="154" t="s">
        <v>902</v>
      </c>
      <c r="N4" s="206"/>
      <c r="O4" s="8"/>
      <c r="P4" s="7"/>
      <c r="Q4" s="8"/>
      <c r="R4" s="167"/>
      <c r="S4" s="8"/>
      <c r="T4" s="14"/>
      <c r="U4" s="14"/>
      <c r="V4" s="14"/>
      <c r="W4" s="16"/>
      <c r="X4" s="131"/>
      <c r="Y4" s="131"/>
      <c r="Z4" s="137"/>
    </row>
    <row r="5" spans="1:26" ht="27" customHeight="1">
      <c r="A5" s="316"/>
      <c r="B5" s="317"/>
      <c r="C5" s="317"/>
      <c r="D5" s="317"/>
      <c r="E5" s="317"/>
      <c r="F5" s="317"/>
      <c r="G5" s="317"/>
      <c r="H5" s="317"/>
      <c r="I5" s="317"/>
      <c r="J5" s="317"/>
      <c r="K5" s="317"/>
      <c r="L5" s="6"/>
      <c r="M5" s="155"/>
      <c r="N5" s="207"/>
      <c r="O5" s="6"/>
      <c r="P5" s="7"/>
      <c r="Q5" s="8"/>
      <c r="R5" s="6"/>
      <c r="S5" s="39"/>
      <c r="T5" s="16"/>
      <c r="U5" s="14"/>
      <c r="V5" s="16"/>
      <c r="W5" s="16"/>
      <c r="X5" s="131"/>
      <c r="Y5" s="131"/>
      <c r="Z5" s="137"/>
    </row>
    <row r="6" spans="1:26" ht="18" customHeight="1">
      <c r="A6" s="166" t="s">
        <v>136</v>
      </c>
      <c r="B6" s="8"/>
      <c r="C6" s="8"/>
      <c r="D6" s="167"/>
      <c r="E6" s="6"/>
      <c r="F6" s="6"/>
      <c r="G6" s="167"/>
      <c r="H6" s="167"/>
      <c r="I6" s="167"/>
      <c r="J6" s="167"/>
      <c r="K6" s="6"/>
      <c r="L6" s="6"/>
      <c r="M6" s="17"/>
      <c r="N6" s="18"/>
      <c r="O6" s="5"/>
      <c r="P6" s="15"/>
      <c r="Q6" s="14"/>
      <c r="R6" s="5"/>
      <c r="S6" s="16"/>
      <c r="T6" s="16"/>
      <c r="U6" s="16"/>
      <c r="V6" s="16"/>
      <c r="W6" s="16"/>
      <c r="X6" s="131"/>
      <c r="Y6" s="131"/>
      <c r="Z6" s="130"/>
    </row>
    <row r="7" spans="1:26" ht="18" customHeight="1">
      <c r="A7" s="166" t="s">
        <v>137</v>
      </c>
      <c r="B7" s="8"/>
      <c r="C7" s="8"/>
      <c r="D7" s="167"/>
      <c r="E7" s="6"/>
      <c r="F7" s="6"/>
      <c r="G7" s="6"/>
      <c r="H7" s="6"/>
      <c r="I7" s="6"/>
      <c r="J7" s="6"/>
      <c r="K7" s="6"/>
      <c r="L7" s="6"/>
      <c r="M7" s="20"/>
      <c r="N7" s="138"/>
      <c r="O7" s="73"/>
      <c r="P7" s="139"/>
      <c r="Q7" s="116"/>
      <c r="R7" s="73"/>
      <c r="S7" s="140"/>
      <c r="T7" s="140"/>
      <c r="U7" s="140"/>
      <c r="V7" s="140"/>
      <c r="W7" s="140"/>
      <c r="X7" s="141"/>
      <c r="Y7" s="141"/>
      <c r="Z7" s="142"/>
    </row>
    <row r="8" spans="1:26" ht="18" customHeight="1">
      <c r="A8" s="163" t="s">
        <v>3</v>
      </c>
      <c r="B8" s="164"/>
      <c r="C8" s="164"/>
      <c r="D8" s="168"/>
      <c r="E8" s="168"/>
      <c r="F8" s="168"/>
      <c r="G8" s="168"/>
      <c r="H8" s="168"/>
      <c r="I8" s="168"/>
      <c r="J8" s="168"/>
      <c r="K8" s="168"/>
      <c r="L8" s="168"/>
      <c r="M8" s="24" t="s">
        <v>4</v>
      </c>
      <c r="N8" s="25"/>
      <c r="O8" s="23"/>
      <c r="P8" s="26"/>
      <c r="Q8" s="27"/>
      <c r="R8" s="28"/>
      <c r="S8" s="28"/>
      <c r="T8" s="27"/>
      <c r="U8" s="29"/>
      <c r="V8" s="27"/>
      <c r="W8" s="27"/>
      <c r="X8" s="133"/>
      <c r="Y8" s="262"/>
      <c r="Z8" s="136"/>
    </row>
    <row r="9" spans="1:26" ht="18" customHeight="1">
      <c r="A9" s="236" t="s">
        <v>194</v>
      </c>
      <c r="B9" s="170"/>
      <c r="C9" s="170"/>
      <c r="D9" s="170"/>
      <c r="E9" s="171"/>
      <c r="F9" s="171"/>
      <c r="G9" s="171"/>
      <c r="H9" s="171"/>
      <c r="I9" s="171"/>
      <c r="J9" s="171"/>
      <c r="K9" s="171"/>
      <c r="L9" s="171"/>
      <c r="M9" s="32"/>
      <c r="N9" s="33"/>
      <c r="O9" s="16"/>
      <c r="P9" s="15"/>
      <c r="Q9" s="14"/>
      <c r="R9" s="34"/>
      <c r="S9" s="34"/>
      <c r="T9" s="14"/>
      <c r="U9" s="14"/>
      <c r="V9" s="14"/>
      <c r="W9" s="14"/>
      <c r="X9" s="125"/>
      <c r="Y9" s="125"/>
      <c r="Z9" s="130"/>
    </row>
    <row r="10" spans="1:26" ht="18" customHeight="1">
      <c r="A10" s="236" t="s">
        <v>730</v>
      </c>
      <c r="B10" s="170"/>
      <c r="C10" s="172"/>
      <c r="D10" s="172"/>
      <c r="E10" s="173"/>
      <c r="F10" s="173"/>
      <c r="G10" s="173"/>
      <c r="H10" s="173"/>
      <c r="I10" s="174"/>
      <c r="J10" s="174"/>
      <c r="K10" s="174"/>
      <c r="L10" s="174"/>
      <c r="M10" s="37"/>
      <c r="N10" s="38"/>
      <c r="O10" s="39"/>
      <c r="P10" s="7"/>
      <c r="Q10" s="8"/>
      <c r="R10" s="40"/>
      <c r="S10" s="40"/>
      <c r="T10" s="8"/>
      <c r="U10" s="8"/>
      <c r="V10" s="8"/>
      <c r="W10" s="8"/>
      <c r="X10" s="134"/>
      <c r="Y10" s="134"/>
      <c r="Z10" s="130"/>
    </row>
    <row r="11" spans="1:26" ht="18" customHeight="1">
      <c r="A11" s="236" t="s">
        <v>731</v>
      </c>
      <c r="B11" s="170"/>
      <c r="C11" s="172"/>
      <c r="D11" s="172"/>
      <c r="E11" s="173"/>
      <c r="F11" s="173"/>
      <c r="G11" s="173"/>
      <c r="H11" s="173"/>
      <c r="I11" s="174"/>
      <c r="J11" s="174"/>
      <c r="K11" s="174"/>
      <c r="L11" s="174"/>
      <c r="M11" s="37"/>
      <c r="N11" s="38"/>
      <c r="O11" s="39"/>
      <c r="P11" s="7"/>
      <c r="Q11" s="8"/>
      <c r="R11" s="40"/>
      <c r="S11" s="40"/>
      <c r="T11" s="8"/>
      <c r="U11" s="8"/>
      <c r="V11" s="8"/>
      <c r="W11" s="8"/>
      <c r="X11" s="134"/>
      <c r="Y11" s="134"/>
      <c r="Z11" s="130"/>
    </row>
    <row r="12" spans="1:26" ht="18" customHeight="1">
      <c r="A12" s="237" t="s">
        <v>732</v>
      </c>
      <c r="B12" s="175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42"/>
      <c r="N12" s="38"/>
      <c r="O12" s="39"/>
      <c r="P12" s="7"/>
      <c r="Q12" s="8"/>
      <c r="R12" s="40"/>
      <c r="S12" s="40"/>
      <c r="T12" s="8"/>
      <c r="U12" s="8"/>
      <c r="V12" s="8"/>
      <c r="W12" s="8"/>
      <c r="X12" s="134"/>
      <c r="Y12" s="134"/>
      <c r="Z12" s="130"/>
    </row>
    <row r="13" spans="1:26" ht="18" customHeight="1">
      <c r="A13" s="177" t="s">
        <v>6</v>
      </c>
      <c r="B13" s="168"/>
      <c r="C13" s="168"/>
      <c r="D13" s="168"/>
      <c r="E13" s="168"/>
      <c r="F13" s="168"/>
      <c r="G13" s="164"/>
      <c r="H13" s="164"/>
      <c r="I13" s="164"/>
      <c r="J13" s="164"/>
      <c r="K13" s="164"/>
      <c r="L13" s="164"/>
      <c r="M13" s="44"/>
      <c r="N13" s="45"/>
      <c r="O13" s="16"/>
      <c r="P13" s="15"/>
      <c r="Q13" s="14"/>
      <c r="R13" s="34"/>
      <c r="S13" s="34"/>
      <c r="T13" s="14"/>
      <c r="U13" s="14"/>
      <c r="V13" s="14"/>
      <c r="W13" s="14"/>
      <c r="X13" s="125"/>
      <c r="Y13" s="125"/>
      <c r="Z13" s="130"/>
    </row>
    <row r="14" spans="1:26" ht="18" customHeight="1">
      <c r="A14" s="178" t="s">
        <v>138</v>
      </c>
      <c r="B14" s="39"/>
      <c r="C14" s="39"/>
      <c r="D14" s="39"/>
      <c r="E14" s="39"/>
      <c r="F14" s="39"/>
      <c r="G14" s="6"/>
      <c r="H14" s="6"/>
      <c r="I14" s="6"/>
      <c r="J14" s="6"/>
      <c r="K14" s="6"/>
      <c r="L14" s="6"/>
      <c r="M14" s="46"/>
      <c r="N14" s="45"/>
      <c r="O14" s="16"/>
      <c r="P14" s="15"/>
      <c r="Q14" s="14"/>
      <c r="R14" s="5"/>
      <c r="S14" s="14"/>
      <c r="T14" s="14"/>
      <c r="U14" s="14"/>
      <c r="V14" s="14"/>
      <c r="W14" s="14"/>
      <c r="X14" s="125"/>
      <c r="Y14" s="125"/>
      <c r="Z14" s="130"/>
    </row>
    <row r="15" spans="1:26" ht="18" customHeight="1">
      <c r="A15" s="178"/>
      <c r="B15" s="39"/>
      <c r="C15" s="39"/>
      <c r="D15" s="39"/>
      <c r="E15" s="39"/>
      <c r="F15" s="39"/>
      <c r="G15" s="6"/>
      <c r="H15" s="6"/>
      <c r="I15" s="6"/>
      <c r="J15" s="6"/>
      <c r="K15" s="6"/>
      <c r="L15" s="6"/>
      <c r="M15" s="46"/>
      <c r="N15" s="45"/>
      <c r="O15" s="16" t="s">
        <v>150</v>
      </c>
      <c r="P15" s="15"/>
      <c r="Q15" s="14"/>
      <c r="R15" s="5"/>
      <c r="S15" s="14"/>
      <c r="T15" s="14"/>
      <c r="U15" s="14"/>
      <c r="V15" s="14"/>
      <c r="W15" s="14"/>
      <c r="X15" s="125"/>
      <c r="Y15" s="125"/>
      <c r="Z15" s="130"/>
    </row>
    <row r="16" spans="1:26" ht="18" customHeight="1">
      <c r="A16" s="169"/>
      <c r="B16" s="39"/>
      <c r="C16" s="39"/>
      <c r="D16" s="39"/>
      <c r="E16" s="39"/>
      <c r="F16" s="39"/>
      <c r="G16" s="6"/>
      <c r="H16" s="6"/>
      <c r="I16" s="6"/>
      <c r="J16" s="6"/>
      <c r="K16" s="6"/>
      <c r="L16" s="6"/>
      <c r="M16" s="47"/>
      <c r="N16" s="16"/>
      <c r="P16" s="15"/>
      <c r="Q16" s="14"/>
      <c r="R16" s="5"/>
      <c r="S16" s="14"/>
      <c r="T16" s="14"/>
      <c r="U16" s="14"/>
      <c r="V16" s="14"/>
      <c r="W16" s="14"/>
      <c r="X16" s="125"/>
      <c r="Y16" s="125"/>
      <c r="Z16" s="130"/>
    </row>
    <row r="17" spans="1:27" ht="18" customHeight="1">
      <c r="A17" s="163" t="s">
        <v>7</v>
      </c>
      <c r="B17" s="164"/>
      <c r="C17" s="164"/>
      <c r="D17" s="164"/>
      <c r="E17" s="163" t="s">
        <v>8</v>
      </c>
      <c r="F17" s="164"/>
      <c r="G17" s="164"/>
      <c r="H17" s="164"/>
      <c r="I17" s="164"/>
      <c r="J17" s="164"/>
      <c r="K17" s="164"/>
      <c r="L17" s="164"/>
      <c r="M17" s="318" t="s">
        <v>139</v>
      </c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259"/>
      <c r="Z17" s="130"/>
    </row>
    <row r="18" spans="1:27" ht="18" customHeight="1">
      <c r="A18" s="320" t="s" ph="1">
        <v>140</v>
      </c>
      <c r="B18" s="304"/>
      <c r="C18" s="304"/>
      <c r="D18" s="305"/>
      <c r="E18" s="321" t="s">
        <v>141</v>
      </c>
      <c r="F18" s="322"/>
      <c r="G18" s="322"/>
      <c r="H18" s="322"/>
      <c r="I18" s="322"/>
      <c r="J18" s="322"/>
      <c r="K18" s="322"/>
      <c r="L18" s="322"/>
      <c r="M18" s="47"/>
      <c r="N18" s="50"/>
      <c r="O18" s="209"/>
      <c r="P18" s="51"/>
      <c r="Q18" s="52"/>
      <c r="R18" s="53"/>
      <c r="U18" s="49"/>
      <c r="V18" s="1"/>
      <c r="X18" s="125"/>
      <c r="Y18" s="125"/>
      <c r="Z18" s="130"/>
    </row>
    <row r="19" spans="1:27" ht="18" customHeight="1">
      <c r="A19" s="54" t="s">
        <v>9</v>
      </c>
      <c r="B19" s="55"/>
      <c r="C19" s="55"/>
      <c r="D19" s="216"/>
      <c r="E19" s="220" t="s">
        <v>10</v>
      </c>
      <c r="F19" s="221"/>
      <c r="G19" s="221"/>
      <c r="H19" s="221"/>
      <c r="I19" s="221"/>
      <c r="J19" s="221"/>
      <c r="K19" s="221"/>
      <c r="L19" s="222"/>
      <c r="M19" s="180"/>
      <c r="N19" s="181"/>
      <c r="O19" s="182" t="s">
        <v>142</v>
      </c>
      <c r="P19" s="183"/>
      <c r="Q19" s="40"/>
      <c r="R19" s="184"/>
      <c r="S19" s="8"/>
      <c r="T19" s="8"/>
      <c r="U19" s="184"/>
      <c r="V19" s="8"/>
      <c r="W19" s="8"/>
      <c r="X19" s="134"/>
      <c r="Y19" s="134"/>
      <c r="Z19" s="185"/>
    </row>
    <row r="20" spans="1:27" ht="45" customHeight="1">
      <c r="A20" s="299" t="s">
        <v>5</v>
      </c>
      <c r="B20" s="300"/>
      <c r="C20" s="300"/>
      <c r="D20" s="300"/>
      <c r="E20" s="323" t="s">
        <v>904</v>
      </c>
      <c r="F20" s="324"/>
      <c r="G20" s="324"/>
      <c r="H20" s="324"/>
      <c r="I20" s="324"/>
      <c r="J20" s="59"/>
      <c r="K20" s="59"/>
      <c r="L20" s="223"/>
      <c r="M20" s="180"/>
      <c r="N20" s="181"/>
      <c r="O20" s="182"/>
      <c r="P20" s="186"/>
      <c r="Q20" s="8"/>
      <c r="R20" s="187"/>
      <c r="S20" s="8"/>
      <c r="T20" s="8"/>
      <c r="U20" s="188"/>
      <c r="V20" s="8"/>
      <c r="W20" s="8"/>
      <c r="X20" s="134"/>
      <c r="Y20" s="134"/>
      <c r="Z20" s="185"/>
    </row>
    <row r="21" spans="1:27" ht="18" customHeight="1">
      <c r="A21" s="54" t="s">
        <v>11</v>
      </c>
      <c r="B21" s="55"/>
      <c r="C21" s="55"/>
      <c r="D21" s="216"/>
      <c r="E21" s="56" t="s">
        <v>12</v>
      </c>
      <c r="F21" s="57"/>
      <c r="G21" s="57"/>
      <c r="H21" s="57"/>
      <c r="I21" s="57"/>
      <c r="J21" s="57"/>
      <c r="K21" s="57"/>
      <c r="L21" s="179"/>
      <c r="M21" s="180"/>
      <c r="N21" s="181"/>
      <c r="O21" s="182"/>
      <c r="P21" s="186"/>
      <c r="Q21" s="8"/>
      <c r="R21" s="187"/>
      <c r="S21" s="8"/>
      <c r="T21" s="8"/>
      <c r="U21" s="188"/>
      <c r="V21" s="8"/>
      <c r="W21" s="8"/>
      <c r="X21" s="134"/>
      <c r="Y21" s="134"/>
      <c r="Z21" s="185"/>
    </row>
    <row r="22" spans="1:27" ht="18" customHeight="1">
      <c r="A22" s="280" t="s">
        <v>905</v>
      </c>
      <c r="B22" s="214"/>
      <c r="C22" s="214"/>
      <c r="D22" s="60"/>
      <c r="E22" s="61" t="s">
        <v>903</v>
      </c>
      <c r="F22" s="62"/>
      <c r="G22" s="62"/>
      <c r="H22" s="62"/>
      <c r="I22" s="62"/>
      <c r="J22" s="62"/>
      <c r="K22" s="62"/>
      <c r="L22" s="190"/>
      <c r="M22" s="189"/>
      <c r="N22" s="191"/>
      <c r="O22" s="190"/>
      <c r="P22" s="192"/>
      <c r="Q22" s="193"/>
      <c r="R22" s="194"/>
      <c r="S22" s="193"/>
      <c r="T22" s="193"/>
      <c r="U22" s="195"/>
      <c r="V22" s="193"/>
      <c r="W22" s="193"/>
      <c r="X22" s="196"/>
      <c r="Y22" s="196"/>
      <c r="Z22" s="197"/>
    </row>
    <row r="23" spans="1:27" s="3" customFormat="1" ht="30" customHeight="1">
      <c r="A23" s="301" t="s">
        <v>13</v>
      </c>
      <c r="B23" s="302"/>
      <c r="C23" s="302"/>
      <c r="D23" s="303"/>
      <c r="E23" s="369" t="s">
        <v>942</v>
      </c>
      <c r="F23" s="370"/>
      <c r="G23" s="370"/>
      <c r="H23" s="370"/>
      <c r="I23" s="370"/>
      <c r="J23" s="370"/>
      <c r="K23" s="370"/>
      <c r="L23" s="370"/>
      <c r="M23" s="372" t="s">
        <v>943</v>
      </c>
      <c r="N23" s="371"/>
      <c r="O23" s="371"/>
      <c r="P23" s="371"/>
      <c r="Q23" s="371"/>
      <c r="R23" s="373" t="s">
        <v>944</v>
      </c>
      <c r="S23" s="198" t="s">
        <v>15</v>
      </c>
      <c r="T23" s="199" t="s">
        <v>16</v>
      </c>
      <c r="U23" s="306" t="s">
        <v>17</v>
      </c>
      <c r="V23" s="307"/>
      <c r="W23" s="308" t="s">
        <v>18</v>
      </c>
      <c r="X23" s="309"/>
      <c r="Y23" s="260" t="s">
        <v>523</v>
      </c>
      <c r="Z23" s="200" t="s">
        <v>195</v>
      </c>
    </row>
    <row r="24" spans="1:27" s="48" customFormat="1" ht="18" customHeight="1">
      <c r="A24" s="159">
        <v>0</v>
      </c>
      <c r="B24" s="160"/>
      <c r="C24" s="160"/>
      <c r="D24" s="161"/>
      <c r="E24" s="265" t="s">
        <v>736</v>
      </c>
      <c r="F24" s="160"/>
      <c r="G24" s="160"/>
      <c r="H24" s="160"/>
      <c r="I24" s="160"/>
      <c r="J24" s="160"/>
      <c r="K24" s="160"/>
      <c r="L24" s="160"/>
      <c r="M24" s="159" t="s">
        <v>925</v>
      </c>
      <c r="N24" s="160"/>
      <c r="O24" s="160"/>
      <c r="P24" s="160"/>
      <c r="Q24" s="160"/>
      <c r="R24" s="283" t="s">
        <v>597</v>
      </c>
      <c r="S24" s="156" t="s">
        <v>19</v>
      </c>
      <c r="T24" s="157">
        <v>2500</v>
      </c>
      <c r="U24" s="234">
        <v>0.18235398230088495</v>
      </c>
      <c r="V24" s="158"/>
      <c r="W24" s="288">
        <v>455.88499999999999</v>
      </c>
      <c r="X24" s="289"/>
      <c r="Y24" s="258" t="s">
        <v>538</v>
      </c>
      <c r="Z24" s="208" t="s">
        <v>130</v>
      </c>
      <c r="AA24" s="48">
        <v>455.88499999999999</v>
      </c>
    </row>
    <row r="25" spans="1:27" s="48" customFormat="1" ht="18" customHeight="1">
      <c r="A25" s="159">
        <v>0</v>
      </c>
      <c r="B25" s="160"/>
      <c r="C25" s="160"/>
      <c r="D25" s="161"/>
      <c r="E25" s="265" t="s">
        <v>436</v>
      </c>
      <c r="F25" s="160"/>
      <c r="G25" s="160"/>
      <c r="H25" s="160"/>
      <c r="I25" s="160"/>
      <c r="J25" s="160"/>
      <c r="K25" s="160"/>
      <c r="L25" s="160"/>
      <c r="M25" s="159" t="s">
        <v>925</v>
      </c>
      <c r="N25" s="160"/>
      <c r="O25" s="160"/>
      <c r="P25" s="160"/>
      <c r="Q25" s="160"/>
      <c r="R25" s="283" t="s">
        <v>360</v>
      </c>
      <c r="S25" s="156" t="s">
        <v>19</v>
      </c>
      <c r="T25" s="157">
        <v>400</v>
      </c>
      <c r="U25" s="234">
        <v>3.4380530973451326E-2</v>
      </c>
      <c r="V25" s="158"/>
      <c r="W25" s="288">
        <v>13.753</v>
      </c>
      <c r="X25" s="289"/>
      <c r="Y25" s="258" t="s">
        <v>538</v>
      </c>
      <c r="Z25" s="208" t="s">
        <v>130</v>
      </c>
      <c r="AA25" s="48">
        <v>13.753</v>
      </c>
    </row>
    <row r="26" spans="1:27" s="48" customFormat="1" ht="18" customHeight="1">
      <c r="A26" s="159">
        <v>0</v>
      </c>
      <c r="B26" s="160"/>
      <c r="C26" s="160"/>
      <c r="D26" s="161"/>
      <c r="E26" s="265" t="s">
        <v>437</v>
      </c>
      <c r="F26" s="160"/>
      <c r="G26" s="160"/>
      <c r="H26" s="160"/>
      <c r="I26" s="160"/>
      <c r="J26" s="160"/>
      <c r="K26" s="160"/>
      <c r="L26" s="160"/>
      <c r="M26" s="159" t="s">
        <v>926</v>
      </c>
      <c r="N26" s="160"/>
      <c r="O26" s="160"/>
      <c r="P26" s="160"/>
      <c r="Q26" s="160"/>
      <c r="R26" s="283" t="s">
        <v>361</v>
      </c>
      <c r="S26" s="156" t="s">
        <v>19</v>
      </c>
      <c r="T26" s="157">
        <v>300</v>
      </c>
      <c r="U26" s="234">
        <v>2.9008849557522125E-2</v>
      </c>
      <c r="V26" s="158"/>
      <c r="W26" s="288">
        <v>8.7029999999999994</v>
      </c>
      <c r="X26" s="289"/>
      <c r="Y26" s="258" t="s">
        <v>538</v>
      </c>
      <c r="Z26" s="208" t="s">
        <v>130</v>
      </c>
      <c r="AA26" s="48">
        <v>8.7029999999999994</v>
      </c>
    </row>
    <row r="27" spans="1:27" s="34" customFormat="1" ht="18" customHeight="1">
      <c r="A27" s="159">
        <v>0</v>
      </c>
      <c r="B27" s="251"/>
      <c r="C27" s="251"/>
      <c r="D27" s="252"/>
      <c r="E27" s="266" t="s">
        <v>737</v>
      </c>
      <c r="F27" s="251"/>
      <c r="G27" s="251"/>
      <c r="H27" s="251"/>
      <c r="I27" s="251"/>
      <c r="J27" s="251"/>
      <c r="K27" s="251"/>
      <c r="L27" s="251"/>
      <c r="M27" s="367" t="s">
        <v>925</v>
      </c>
      <c r="N27" s="251"/>
      <c r="O27" s="251"/>
      <c r="P27" s="251"/>
      <c r="Q27" s="251"/>
      <c r="R27" s="284" t="s">
        <v>589</v>
      </c>
      <c r="S27" s="253" t="s">
        <v>19</v>
      </c>
      <c r="T27" s="254">
        <v>2300</v>
      </c>
      <c r="U27" s="255">
        <v>9.9522123893805298E-2</v>
      </c>
      <c r="V27" s="256"/>
      <c r="W27" s="288">
        <v>228.90100000000001</v>
      </c>
      <c r="X27" s="289"/>
      <c r="Y27" s="258" t="s">
        <v>538</v>
      </c>
      <c r="Z27" s="257" t="s">
        <v>130</v>
      </c>
      <c r="AA27" s="34">
        <v>228.90100000000001</v>
      </c>
    </row>
    <row r="28" spans="1:27" s="48" customFormat="1" ht="18" customHeight="1">
      <c r="A28" s="159">
        <v>0</v>
      </c>
      <c r="B28" s="160"/>
      <c r="C28" s="160"/>
      <c r="D28" s="161"/>
      <c r="E28" s="265" t="s">
        <v>738</v>
      </c>
      <c r="F28" s="160"/>
      <c r="G28" s="160"/>
      <c r="H28" s="160"/>
      <c r="I28" s="160"/>
      <c r="J28" s="160"/>
      <c r="K28" s="160"/>
      <c r="L28" s="160"/>
      <c r="M28" s="159" t="s">
        <v>927</v>
      </c>
      <c r="N28" s="160"/>
      <c r="O28" s="160"/>
      <c r="P28" s="160"/>
      <c r="Q28" s="160"/>
      <c r="R28" s="283" t="s">
        <v>590</v>
      </c>
      <c r="S28" s="156" t="s">
        <v>19</v>
      </c>
      <c r="T28" s="157">
        <v>2000</v>
      </c>
      <c r="U28" s="235">
        <v>3.015929203539823E-2</v>
      </c>
      <c r="V28" s="225"/>
      <c r="W28" s="288">
        <v>60.318999999999996</v>
      </c>
      <c r="X28" s="289"/>
      <c r="Y28" s="258" t="s">
        <v>538</v>
      </c>
      <c r="Z28" s="226" t="s">
        <v>125</v>
      </c>
      <c r="AA28" s="48">
        <v>60.318999999999996</v>
      </c>
    </row>
    <row r="29" spans="1:27" s="48" customFormat="1" ht="18" customHeight="1">
      <c r="A29" s="159">
        <v>0</v>
      </c>
      <c r="B29" s="160"/>
      <c r="C29" s="160"/>
      <c r="D29" s="161"/>
      <c r="E29" s="265" t="s">
        <v>443</v>
      </c>
      <c r="F29" s="160"/>
      <c r="G29" s="160"/>
      <c r="H29" s="160"/>
      <c r="I29" s="160"/>
      <c r="J29" s="160"/>
      <c r="K29" s="160"/>
      <c r="L29" s="160"/>
      <c r="M29" s="159" t="s">
        <v>925</v>
      </c>
      <c r="N29" s="160"/>
      <c r="O29" s="160"/>
      <c r="P29" s="160"/>
      <c r="Q29" s="160"/>
      <c r="R29" s="283" t="s">
        <v>367</v>
      </c>
      <c r="S29" s="156" t="s">
        <v>19</v>
      </c>
      <c r="T29" s="157">
        <v>2400</v>
      </c>
      <c r="U29" s="239">
        <v>0.1042566371681416</v>
      </c>
      <c r="V29" s="225"/>
      <c r="W29" s="288">
        <v>250.21600000000001</v>
      </c>
      <c r="X29" s="289"/>
      <c r="Y29" s="258" t="s">
        <v>538</v>
      </c>
      <c r="Z29" s="240" t="s">
        <v>130</v>
      </c>
      <c r="AA29" s="48">
        <v>250.21600000000001</v>
      </c>
    </row>
    <row r="30" spans="1:27" s="48" customFormat="1" ht="18" customHeight="1">
      <c r="A30" s="159">
        <v>0</v>
      </c>
      <c r="B30" s="160"/>
      <c r="C30" s="160"/>
      <c r="D30" s="161"/>
      <c r="E30" s="265" t="s">
        <v>450</v>
      </c>
      <c r="F30" s="160"/>
      <c r="G30" s="160"/>
      <c r="H30" s="160"/>
      <c r="I30" s="160"/>
      <c r="J30" s="160"/>
      <c r="K30" s="160"/>
      <c r="L30" s="160"/>
      <c r="M30" s="159" t="s">
        <v>927</v>
      </c>
      <c r="N30" s="160"/>
      <c r="O30" s="160"/>
      <c r="P30" s="160"/>
      <c r="Q30" s="160"/>
      <c r="R30" s="283" t="s">
        <v>374</v>
      </c>
      <c r="S30" s="156" t="s">
        <v>19</v>
      </c>
      <c r="T30" s="157">
        <v>600</v>
      </c>
      <c r="U30" s="239">
        <v>0.20851327433628319</v>
      </c>
      <c r="V30" s="225"/>
      <c r="W30" s="288">
        <v>125.108</v>
      </c>
      <c r="X30" s="289"/>
      <c r="Y30" s="258" t="s">
        <v>538</v>
      </c>
      <c r="Z30" s="240" t="s">
        <v>130</v>
      </c>
      <c r="AA30" s="48">
        <v>125.108</v>
      </c>
    </row>
    <row r="31" spans="1:27" s="48" customFormat="1" ht="18" customHeight="1">
      <c r="A31" s="159">
        <v>0</v>
      </c>
      <c r="B31" s="160"/>
      <c r="C31" s="160"/>
      <c r="D31" s="161"/>
      <c r="E31" s="265" t="s">
        <v>46</v>
      </c>
      <c r="F31" s="160"/>
      <c r="G31" s="160"/>
      <c r="H31" s="160"/>
      <c r="I31" s="160"/>
      <c r="J31" s="160"/>
      <c r="K31" s="160"/>
      <c r="L31" s="160"/>
      <c r="M31" s="159" t="s">
        <v>925</v>
      </c>
      <c r="N31" s="160"/>
      <c r="O31" s="160"/>
      <c r="P31" s="160"/>
      <c r="Q31" s="160"/>
      <c r="R31" s="283" t="s">
        <v>73</v>
      </c>
      <c r="S31" s="156" t="s">
        <v>19</v>
      </c>
      <c r="T31" s="157">
        <v>1500</v>
      </c>
      <c r="U31" s="239">
        <v>0.21799115044247788</v>
      </c>
      <c r="V31" s="225"/>
      <c r="W31" s="288">
        <v>326.98699999999997</v>
      </c>
      <c r="X31" s="289"/>
      <c r="Y31" s="258" t="s">
        <v>538</v>
      </c>
      <c r="Z31" s="240" t="s">
        <v>130</v>
      </c>
      <c r="AA31" s="48">
        <v>326.98699999999997</v>
      </c>
    </row>
    <row r="32" spans="1:27" s="48" customFormat="1" ht="18" customHeight="1">
      <c r="A32" s="159">
        <v>0</v>
      </c>
      <c r="B32" s="160"/>
      <c r="C32" s="160"/>
      <c r="D32" s="161"/>
      <c r="E32" s="265" t="s">
        <v>739</v>
      </c>
      <c r="F32" s="160"/>
      <c r="G32" s="160"/>
      <c r="H32" s="160"/>
      <c r="I32" s="160"/>
      <c r="J32" s="160"/>
      <c r="K32" s="160"/>
      <c r="L32" s="160"/>
      <c r="M32" s="159" t="s">
        <v>927</v>
      </c>
      <c r="N32" s="160"/>
      <c r="O32" s="160"/>
      <c r="P32" s="160"/>
      <c r="Q32" s="160"/>
      <c r="R32" s="283" t="s">
        <v>628</v>
      </c>
      <c r="S32" s="156" t="s">
        <v>19</v>
      </c>
      <c r="T32" s="157">
        <v>2625</v>
      </c>
      <c r="U32" s="239">
        <v>4.0513274336283184E-2</v>
      </c>
      <c r="V32" s="225"/>
      <c r="W32" s="288">
        <v>106.348</v>
      </c>
      <c r="X32" s="289"/>
      <c r="Y32" s="258" t="s">
        <v>538</v>
      </c>
      <c r="Z32" s="240" t="s">
        <v>125</v>
      </c>
      <c r="AA32" s="48">
        <v>106.348</v>
      </c>
    </row>
    <row r="33" spans="1:27" s="48" customFormat="1" ht="18" customHeight="1">
      <c r="A33" s="159">
        <v>0</v>
      </c>
      <c r="B33" s="160"/>
      <c r="C33" s="160"/>
      <c r="D33" s="161"/>
      <c r="E33" s="265" t="s">
        <v>81</v>
      </c>
      <c r="F33" s="160"/>
      <c r="G33" s="160"/>
      <c r="H33" s="160"/>
      <c r="I33" s="160"/>
      <c r="J33" s="160"/>
      <c r="K33" s="160"/>
      <c r="L33" s="160"/>
      <c r="M33" s="159" t="s">
        <v>925</v>
      </c>
      <c r="N33" s="160"/>
      <c r="O33" s="160"/>
      <c r="P33" s="160"/>
      <c r="Q33" s="160"/>
      <c r="R33" s="283" t="s">
        <v>80</v>
      </c>
      <c r="S33" s="156" t="s">
        <v>19</v>
      </c>
      <c r="T33" s="157">
        <v>200</v>
      </c>
      <c r="U33" s="271">
        <v>0.36963716814159292</v>
      </c>
      <c r="V33" s="272"/>
      <c r="W33" s="288">
        <v>73.928000000000011</v>
      </c>
      <c r="X33" s="289"/>
      <c r="Y33" s="273" t="s">
        <v>538</v>
      </c>
      <c r="Z33" s="240" t="s">
        <v>130</v>
      </c>
      <c r="AA33" s="48">
        <v>73.928000000000011</v>
      </c>
    </row>
    <row r="34" spans="1:27" s="48" customFormat="1" ht="18" customHeight="1">
      <c r="A34" s="159">
        <v>0</v>
      </c>
      <c r="B34" s="160"/>
      <c r="C34" s="160"/>
      <c r="D34" s="161"/>
      <c r="E34" s="265" t="s">
        <v>449</v>
      </c>
      <c r="F34" s="160"/>
      <c r="G34" s="160"/>
      <c r="H34" s="160"/>
      <c r="I34" s="160"/>
      <c r="J34" s="160"/>
      <c r="K34" s="160"/>
      <c r="L34" s="160"/>
      <c r="M34" s="159" t="s">
        <v>927</v>
      </c>
      <c r="N34" s="160"/>
      <c r="O34" s="160"/>
      <c r="P34" s="160"/>
      <c r="Q34" s="160"/>
      <c r="R34" s="283" t="s">
        <v>373</v>
      </c>
      <c r="S34" s="156" t="s">
        <v>19</v>
      </c>
      <c r="T34" s="157">
        <v>140</v>
      </c>
      <c r="U34" s="271">
        <v>0.17913274336283186</v>
      </c>
      <c r="V34" s="272"/>
      <c r="W34" s="288">
        <v>25.079000000000001</v>
      </c>
      <c r="X34" s="289"/>
      <c r="Y34" s="273" t="s">
        <v>538</v>
      </c>
      <c r="Z34" s="240" t="s">
        <v>130</v>
      </c>
      <c r="AA34" s="48">
        <v>25.079000000000001</v>
      </c>
    </row>
    <row r="35" spans="1:27" s="48" customFormat="1" ht="18" customHeight="1">
      <c r="A35" s="159">
        <v>0</v>
      </c>
      <c r="B35" s="160"/>
      <c r="C35" s="160"/>
      <c r="D35" s="161"/>
      <c r="E35" s="265" t="s">
        <v>51</v>
      </c>
      <c r="F35" s="160"/>
      <c r="G35" s="160"/>
      <c r="H35" s="160"/>
      <c r="I35" s="160"/>
      <c r="J35" s="160"/>
      <c r="K35" s="160"/>
      <c r="L35" s="160"/>
      <c r="M35" s="159" t="s">
        <v>925</v>
      </c>
      <c r="N35" s="160"/>
      <c r="O35" s="160"/>
      <c r="P35" s="160"/>
      <c r="Q35" s="160"/>
      <c r="R35" s="283" t="s">
        <v>118</v>
      </c>
      <c r="S35" s="156" t="s">
        <v>19</v>
      </c>
      <c r="T35" s="157">
        <v>100</v>
      </c>
      <c r="U35" s="271">
        <v>0.23230088495575221</v>
      </c>
      <c r="V35" s="272"/>
      <c r="W35" s="288">
        <v>23.231000000000002</v>
      </c>
      <c r="X35" s="289"/>
      <c r="Y35" s="273" t="s">
        <v>538</v>
      </c>
      <c r="Z35" s="240" t="s">
        <v>130</v>
      </c>
      <c r="AA35" s="48">
        <v>23.231000000000002</v>
      </c>
    </row>
    <row r="36" spans="1:27" s="48" customFormat="1" ht="18" customHeight="1">
      <c r="A36" s="159">
        <v>0</v>
      </c>
      <c r="B36" s="160"/>
      <c r="C36" s="160"/>
      <c r="D36" s="161"/>
      <c r="E36" s="265" t="s">
        <v>89</v>
      </c>
      <c r="F36" s="160"/>
      <c r="G36" s="160"/>
      <c r="H36" s="160"/>
      <c r="I36" s="160"/>
      <c r="J36" s="160"/>
      <c r="K36" s="160"/>
      <c r="L36" s="160"/>
      <c r="M36" s="159" t="s">
        <v>925</v>
      </c>
      <c r="N36" s="160"/>
      <c r="O36" s="160"/>
      <c r="P36" s="160"/>
      <c r="Q36" s="160"/>
      <c r="R36" s="283" t="s">
        <v>88</v>
      </c>
      <c r="S36" s="156" t="s">
        <v>19</v>
      </c>
      <c r="T36" s="157">
        <v>200</v>
      </c>
      <c r="U36" s="271">
        <v>0.18119469026548674</v>
      </c>
      <c r="V36" s="272"/>
      <c r="W36" s="288">
        <v>36.238999999999997</v>
      </c>
      <c r="X36" s="289"/>
      <c r="Y36" s="273" t="s">
        <v>538</v>
      </c>
      <c r="Z36" s="240" t="s">
        <v>130</v>
      </c>
      <c r="AA36" s="48">
        <v>36.238999999999997</v>
      </c>
    </row>
    <row r="37" spans="1:27" s="48" customFormat="1" ht="18" customHeight="1">
      <c r="A37" s="159">
        <v>0</v>
      </c>
      <c r="B37" s="160"/>
      <c r="C37" s="160"/>
      <c r="D37" s="161"/>
      <c r="E37" s="265" t="s">
        <v>356</v>
      </c>
      <c r="F37" s="160"/>
      <c r="G37" s="160"/>
      <c r="H37" s="160"/>
      <c r="I37" s="160"/>
      <c r="J37" s="160"/>
      <c r="K37" s="160"/>
      <c r="L37" s="160"/>
      <c r="M37" s="159" t="s">
        <v>926</v>
      </c>
      <c r="N37" s="160"/>
      <c r="O37" s="160"/>
      <c r="P37" s="160"/>
      <c r="Q37" s="160"/>
      <c r="R37" s="283" t="s">
        <v>101</v>
      </c>
      <c r="S37" s="156" t="s">
        <v>19</v>
      </c>
      <c r="T37" s="157">
        <v>300</v>
      </c>
      <c r="U37" s="271">
        <v>0.15331858407079646</v>
      </c>
      <c r="V37" s="272"/>
      <c r="W37" s="288">
        <v>45.995999999999995</v>
      </c>
      <c r="X37" s="289"/>
      <c r="Y37" s="273" t="s">
        <v>538</v>
      </c>
      <c r="Z37" s="240" t="s">
        <v>130</v>
      </c>
      <c r="AA37" s="48">
        <v>45.995999999999995</v>
      </c>
    </row>
    <row r="38" spans="1:27" s="48" customFormat="1" ht="18" customHeight="1">
      <c r="A38" s="159">
        <v>0</v>
      </c>
      <c r="B38" s="160"/>
      <c r="C38" s="160"/>
      <c r="D38" s="161"/>
      <c r="E38" s="265" t="s">
        <v>31</v>
      </c>
      <c r="F38" s="160"/>
      <c r="G38" s="160"/>
      <c r="H38" s="160"/>
      <c r="I38" s="160"/>
      <c r="J38" s="160"/>
      <c r="K38" s="160"/>
      <c r="L38" s="160"/>
      <c r="M38" s="159" t="s">
        <v>925</v>
      </c>
      <c r="N38" s="160"/>
      <c r="O38" s="160"/>
      <c r="P38" s="160"/>
      <c r="Q38" s="160"/>
      <c r="R38" s="283" t="s">
        <v>102</v>
      </c>
      <c r="S38" s="156" t="s">
        <v>19</v>
      </c>
      <c r="T38" s="157">
        <v>750</v>
      </c>
      <c r="U38" s="271">
        <v>0.47389380530973452</v>
      </c>
      <c r="V38" s="272"/>
      <c r="W38" s="288">
        <v>355.42099999999999</v>
      </c>
      <c r="X38" s="289"/>
      <c r="Y38" s="273" t="s">
        <v>538</v>
      </c>
      <c r="Z38" s="240" t="s">
        <v>130</v>
      </c>
      <c r="AA38" s="48">
        <v>355.42099999999999</v>
      </c>
    </row>
    <row r="39" spans="1:27" s="48" customFormat="1" ht="18" customHeight="1">
      <c r="A39" s="159">
        <v>0</v>
      </c>
      <c r="B39" s="160"/>
      <c r="C39" s="160"/>
      <c r="D39" s="161"/>
      <c r="E39" s="265" t="s">
        <v>47</v>
      </c>
      <c r="F39" s="160"/>
      <c r="G39" s="160"/>
      <c r="H39" s="160"/>
      <c r="I39" s="160"/>
      <c r="J39" s="160"/>
      <c r="K39" s="160"/>
      <c r="L39" s="160"/>
      <c r="M39" s="159" t="s">
        <v>925</v>
      </c>
      <c r="N39" s="160"/>
      <c r="O39" s="160"/>
      <c r="P39" s="160"/>
      <c r="Q39" s="160"/>
      <c r="R39" s="283" t="s">
        <v>100</v>
      </c>
      <c r="S39" s="156" t="s">
        <v>19</v>
      </c>
      <c r="T39" s="157">
        <v>3700</v>
      </c>
      <c r="U39" s="271">
        <v>0.13269026548672566</v>
      </c>
      <c r="V39" s="272"/>
      <c r="W39" s="288">
        <v>490.95399999999995</v>
      </c>
      <c r="X39" s="289"/>
      <c r="Y39" s="273" t="s">
        <v>538</v>
      </c>
      <c r="Z39" s="240" t="s">
        <v>130</v>
      </c>
      <c r="AA39" s="48">
        <v>490.95399999999995</v>
      </c>
    </row>
    <row r="40" spans="1:27" s="48" customFormat="1" ht="18" customHeight="1">
      <c r="A40" s="159">
        <v>0</v>
      </c>
      <c r="B40" s="160"/>
      <c r="C40" s="160"/>
      <c r="D40" s="161"/>
      <c r="E40" s="265" t="s">
        <v>740</v>
      </c>
      <c r="F40" s="160"/>
      <c r="G40" s="160"/>
      <c r="H40" s="160"/>
      <c r="I40" s="160"/>
      <c r="J40" s="160"/>
      <c r="K40" s="160"/>
      <c r="L40" s="160"/>
      <c r="M40" s="159" t="s">
        <v>925</v>
      </c>
      <c r="N40" s="160"/>
      <c r="O40" s="160"/>
      <c r="P40" s="160"/>
      <c r="Q40" s="160"/>
      <c r="R40" s="283" t="s">
        <v>623</v>
      </c>
      <c r="S40" s="156" t="s">
        <v>19</v>
      </c>
      <c r="T40" s="157">
        <v>2500</v>
      </c>
      <c r="U40" s="271">
        <v>0.14075221238938054</v>
      </c>
      <c r="V40" s="272"/>
      <c r="W40" s="288">
        <v>351.88099999999997</v>
      </c>
      <c r="X40" s="289"/>
      <c r="Y40" s="273" t="s">
        <v>538</v>
      </c>
      <c r="Z40" s="240" t="s">
        <v>130</v>
      </c>
      <c r="AA40" s="48">
        <v>351.88099999999997</v>
      </c>
    </row>
    <row r="41" spans="1:27" s="48" customFormat="1" ht="18" customHeight="1">
      <c r="A41" s="159">
        <v>0</v>
      </c>
      <c r="B41" s="160"/>
      <c r="C41" s="160"/>
      <c r="D41" s="161"/>
      <c r="E41" s="265" t="s">
        <v>34</v>
      </c>
      <c r="F41" s="160"/>
      <c r="G41" s="160"/>
      <c r="H41" s="160"/>
      <c r="I41" s="160"/>
      <c r="J41" s="160"/>
      <c r="K41" s="160"/>
      <c r="L41" s="160"/>
      <c r="M41" s="159" t="s">
        <v>925</v>
      </c>
      <c r="N41" s="160"/>
      <c r="O41" s="160"/>
      <c r="P41" s="160"/>
      <c r="Q41" s="160"/>
      <c r="R41" s="283" t="s">
        <v>70</v>
      </c>
      <c r="S41" s="156" t="s">
        <v>19</v>
      </c>
      <c r="T41" s="157">
        <v>500</v>
      </c>
      <c r="U41" s="271">
        <v>8.1495575221238944E-2</v>
      </c>
      <c r="V41" s="272"/>
      <c r="W41" s="288">
        <v>40.747999999999998</v>
      </c>
      <c r="X41" s="289"/>
      <c r="Y41" s="273" t="s">
        <v>538</v>
      </c>
      <c r="Z41" s="240" t="s">
        <v>130</v>
      </c>
      <c r="AA41" s="48">
        <v>40.747999999999998</v>
      </c>
    </row>
    <row r="42" spans="1:27" s="48" customFormat="1" ht="18" customHeight="1">
      <c r="A42" s="159">
        <v>0</v>
      </c>
      <c r="B42" s="160"/>
      <c r="C42" s="160"/>
      <c r="D42" s="161"/>
      <c r="E42" s="265" t="s">
        <v>741</v>
      </c>
      <c r="F42" s="160"/>
      <c r="G42" s="160"/>
      <c r="H42" s="160"/>
      <c r="I42" s="160"/>
      <c r="J42" s="160"/>
      <c r="K42" s="160"/>
      <c r="L42" s="160"/>
      <c r="M42" s="159" t="s">
        <v>925</v>
      </c>
      <c r="N42" s="160"/>
      <c r="O42" s="160"/>
      <c r="P42" s="160"/>
      <c r="Q42" s="160"/>
      <c r="R42" s="283" t="s">
        <v>618</v>
      </c>
      <c r="S42" s="156" t="s">
        <v>19</v>
      </c>
      <c r="T42" s="157">
        <v>1400</v>
      </c>
      <c r="U42" s="271">
        <v>0.19327433628318585</v>
      </c>
      <c r="V42" s="272"/>
      <c r="W42" s="288">
        <v>270.58499999999998</v>
      </c>
      <c r="X42" s="289"/>
      <c r="Y42" s="273" t="s">
        <v>538</v>
      </c>
      <c r="Z42" s="240" t="s">
        <v>130</v>
      </c>
      <c r="AA42" s="48">
        <v>270.58499999999998</v>
      </c>
    </row>
    <row r="43" spans="1:27" s="48" customFormat="1" ht="18" customHeight="1">
      <c r="A43" s="159">
        <v>0</v>
      </c>
      <c r="B43" s="160"/>
      <c r="C43" s="160"/>
      <c r="D43" s="161"/>
      <c r="E43" s="265" t="s">
        <v>742</v>
      </c>
      <c r="F43" s="160"/>
      <c r="G43" s="160"/>
      <c r="H43" s="160"/>
      <c r="I43" s="160"/>
      <c r="J43" s="160"/>
      <c r="K43" s="160"/>
      <c r="L43" s="160"/>
      <c r="M43" s="159" t="s">
        <v>925</v>
      </c>
      <c r="N43" s="160"/>
      <c r="O43" s="160"/>
      <c r="P43" s="160"/>
      <c r="Q43" s="160"/>
      <c r="R43" s="283" t="s">
        <v>625</v>
      </c>
      <c r="S43" s="156" t="s">
        <v>19</v>
      </c>
      <c r="T43" s="157">
        <v>1800</v>
      </c>
      <c r="U43" s="271">
        <v>0.17742477876106197</v>
      </c>
      <c r="V43" s="272"/>
      <c r="W43" s="288">
        <v>319.36499999999995</v>
      </c>
      <c r="X43" s="289"/>
      <c r="Y43" s="273" t="s">
        <v>538</v>
      </c>
      <c r="Z43" s="240" t="s">
        <v>130</v>
      </c>
      <c r="AA43" s="48">
        <v>319.36499999999995</v>
      </c>
    </row>
    <row r="44" spans="1:27" s="48" customFormat="1" ht="18" customHeight="1">
      <c r="A44" s="159">
        <v>0</v>
      </c>
      <c r="B44" s="160"/>
      <c r="C44" s="160"/>
      <c r="D44" s="161"/>
      <c r="E44" s="265" t="s">
        <v>44</v>
      </c>
      <c r="F44" s="160"/>
      <c r="G44" s="160"/>
      <c r="H44" s="160"/>
      <c r="I44" s="160"/>
      <c r="J44" s="160"/>
      <c r="K44" s="160"/>
      <c r="L44" s="160"/>
      <c r="M44" s="159" t="s">
        <v>925</v>
      </c>
      <c r="N44" s="160"/>
      <c r="O44" s="160"/>
      <c r="P44" s="160"/>
      <c r="Q44" s="160"/>
      <c r="R44" s="283" t="s">
        <v>193</v>
      </c>
      <c r="S44" s="156" t="s">
        <v>19</v>
      </c>
      <c r="T44" s="157">
        <v>900</v>
      </c>
      <c r="U44" s="271">
        <v>0.2729646017699115</v>
      </c>
      <c r="V44" s="272"/>
      <c r="W44" s="288">
        <v>245.66900000000001</v>
      </c>
      <c r="X44" s="289"/>
      <c r="Y44" s="273" t="s">
        <v>538</v>
      </c>
      <c r="Z44" s="240" t="s">
        <v>130</v>
      </c>
      <c r="AA44" s="48">
        <v>245.66900000000001</v>
      </c>
    </row>
    <row r="45" spans="1:27" s="48" customFormat="1" ht="18" customHeight="1">
      <c r="A45" s="159">
        <v>0</v>
      </c>
      <c r="B45" s="160"/>
      <c r="C45" s="160"/>
      <c r="D45" s="161"/>
      <c r="E45" s="265" t="s">
        <v>743</v>
      </c>
      <c r="F45" s="160"/>
      <c r="G45" s="160"/>
      <c r="H45" s="160"/>
      <c r="I45" s="160"/>
      <c r="J45" s="160"/>
      <c r="K45" s="160"/>
      <c r="L45" s="160"/>
      <c r="M45" s="159" t="s">
        <v>925</v>
      </c>
      <c r="N45" s="160"/>
      <c r="O45" s="160"/>
      <c r="P45" s="160"/>
      <c r="Q45" s="160"/>
      <c r="R45" s="283" t="s">
        <v>592</v>
      </c>
      <c r="S45" s="156" t="s">
        <v>19</v>
      </c>
      <c r="T45" s="157">
        <v>2500</v>
      </c>
      <c r="U45" s="271">
        <v>0.13297345132743363</v>
      </c>
      <c r="V45" s="272"/>
      <c r="W45" s="288">
        <v>332.43399999999997</v>
      </c>
      <c r="X45" s="289"/>
      <c r="Y45" s="273" t="s">
        <v>538</v>
      </c>
      <c r="Z45" s="240" t="s">
        <v>130</v>
      </c>
      <c r="AA45" s="48">
        <v>332.43399999999997</v>
      </c>
    </row>
    <row r="46" spans="1:27" s="48" customFormat="1" ht="18" customHeight="1">
      <c r="A46" s="159">
        <v>0</v>
      </c>
      <c r="B46" s="160"/>
      <c r="C46" s="160"/>
      <c r="D46" s="161"/>
      <c r="E46" s="265" t="s">
        <v>744</v>
      </c>
      <c r="F46" s="160"/>
      <c r="G46" s="160"/>
      <c r="H46" s="160"/>
      <c r="I46" s="160"/>
      <c r="J46" s="160"/>
      <c r="K46" s="160"/>
      <c r="L46" s="160"/>
      <c r="M46" s="159" t="s">
        <v>926</v>
      </c>
      <c r="N46" s="160"/>
      <c r="O46" s="160"/>
      <c r="P46" s="160"/>
      <c r="Q46" s="160"/>
      <c r="R46" s="283" t="s">
        <v>661</v>
      </c>
      <c r="S46" s="156" t="s">
        <v>19</v>
      </c>
      <c r="T46" s="157">
        <v>2500</v>
      </c>
      <c r="U46" s="271">
        <v>0.13083185840707964</v>
      </c>
      <c r="V46" s="272"/>
      <c r="W46" s="288">
        <v>327.08</v>
      </c>
      <c r="X46" s="289"/>
      <c r="Y46" s="273" t="s">
        <v>538</v>
      </c>
      <c r="Z46" s="240" t="s">
        <v>130</v>
      </c>
      <c r="AA46" s="48">
        <v>327.08</v>
      </c>
    </row>
    <row r="47" spans="1:27" s="48" customFormat="1" ht="18" customHeight="1">
      <c r="A47" s="159">
        <v>0</v>
      </c>
      <c r="B47" s="160"/>
      <c r="C47" s="160"/>
      <c r="D47" s="161"/>
      <c r="E47" s="265" t="s">
        <v>485</v>
      </c>
      <c r="F47" s="160"/>
      <c r="G47" s="160"/>
      <c r="H47" s="160"/>
      <c r="I47" s="160"/>
      <c r="J47" s="160"/>
      <c r="K47" s="160"/>
      <c r="L47" s="160"/>
      <c r="M47" s="159" t="s">
        <v>925</v>
      </c>
      <c r="N47" s="160"/>
      <c r="O47" s="160"/>
      <c r="P47" s="160"/>
      <c r="Q47" s="160"/>
      <c r="R47" s="283" t="s">
        <v>721</v>
      </c>
      <c r="S47" s="156" t="s">
        <v>19</v>
      </c>
      <c r="T47" s="157">
        <v>800</v>
      </c>
      <c r="U47" s="271">
        <v>0.21567256637168142</v>
      </c>
      <c r="V47" s="272"/>
      <c r="W47" s="288">
        <v>172.53900000000002</v>
      </c>
      <c r="X47" s="289"/>
      <c r="Y47" s="273" t="s">
        <v>538</v>
      </c>
      <c r="Z47" s="240" t="s">
        <v>130</v>
      </c>
      <c r="AA47" s="48">
        <v>172.53900000000002</v>
      </c>
    </row>
    <row r="48" spans="1:27" s="48" customFormat="1" ht="18" customHeight="1">
      <c r="A48" s="159">
        <v>0</v>
      </c>
      <c r="B48" s="160"/>
      <c r="C48" s="160"/>
      <c r="D48" s="161"/>
      <c r="E48" s="265" t="s">
        <v>433</v>
      </c>
      <c r="F48" s="160"/>
      <c r="G48" s="160"/>
      <c r="H48" s="160"/>
      <c r="I48" s="160"/>
      <c r="J48" s="160"/>
      <c r="K48" s="160"/>
      <c r="L48" s="160"/>
      <c r="M48" s="159" t="s">
        <v>928</v>
      </c>
      <c r="N48" s="160"/>
      <c r="O48" s="160"/>
      <c r="P48" s="160"/>
      <c r="Q48" s="160"/>
      <c r="R48" s="283" t="s">
        <v>357</v>
      </c>
      <c r="S48" s="156" t="s">
        <v>19</v>
      </c>
      <c r="T48" s="157">
        <v>1000</v>
      </c>
      <c r="U48" s="271">
        <v>8.158407079646017E-2</v>
      </c>
      <c r="V48" s="272"/>
      <c r="W48" s="288">
        <v>81.585000000000008</v>
      </c>
      <c r="X48" s="289"/>
      <c r="Y48" s="273" t="s">
        <v>541</v>
      </c>
      <c r="Z48" s="240" t="s">
        <v>130</v>
      </c>
      <c r="AA48" s="48">
        <v>81.585000000000008</v>
      </c>
    </row>
    <row r="49" spans="1:27" s="48" customFormat="1" ht="18" customHeight="1">
      <c r="A49" s="159">
        <v>0</v>
      </c>
      <c r="B49" s="160"/>
      <c r="C49" s="160"/>
      <c r="D49" s="161"/>
      <c r="E49" s="265" t="s">
        <v>435</v>
      </c>
      <c r="F49" s="160"/>
      <c r="G49" s="160"/>
      <c r="H49" s="160"/>
      <c r="I49" s="160"/>
      <c r="J49" s="160"/>
      <c r="K49" s="160"/>
      <c r="L49" s="160"/>
      <c r="M49" s="159" t="s">
        <v>926</v>
      </c>
      <c r="N49" s="160"/>
      <c r="O49" s="160"/>
      <c r="P49" s="160"/>
      <c r="Q49" s="160"/>
      <c r="R49" s="283" t="s">
        <v>359</v>
      </c>
      <c r="S49" s="156" t="s">
        <v>19</v>
      </c>
      <c r="T49" s="157">
        <v>600</v>
      </c>
      <c r="U49" s="271">
        <v>0.15992035398230087</v>
      </c>
      <c r="V49" s="272"/>
      <c r="W49" s="288">
        <v>95.953000000000003</v>
      </c>
      <c r="X49" s="289"/>
      <c r="Y49" s="273" t="s">
        <v>541</v>
      </c>
      <c r="Z49" s="240" t="s">
        <v>130</v>
      </c>
      <c r="AA49" s="48">
        <v>95.953000000000003</v>
      </c>
    </row>
    <row r="50" spans="1:27" s="48" customFormat="1" ht="18" customHeight="1">
      <c r="A50" s="159">
        <v>0</v>
      </c>
      <c r="B50" s="160"/>
      <c r="C50" s="160"/>
      <c r="D50" s="161"/>
      <c r="E50" s="265" t="s">
        <v>434</v>
      </c>
      <c r="F50" s="160"/>
      <c r="G50" s="160"/>
      <c r="H50" s="160"/>
      <c r="I50" s="160"/>
      <c r="J50" s="160"/>
      <c r="K50" s="160"/>
      <c r="L50" s="160"/>
      <c r="M50" s="159" t="s">
        <v>925</v>
      </c>
      <c r="N50" s="160"/>
      <c r="O50" s="160"/>
      <c r="P50" s="160"/>
      <c r="Q50" s="160"/>
      <c r="R50" s="283" t="s">
        <v>358</v>
      </c>
      <c r="S50" s="156" t="s">
        <v>19</v>
      </c>
      <c r="T50" s="157">
        <v>500</v>
      </c>
      <c r="U50" s="271">
        <v>0.22932743362831856</v>
      </c>
      <c r="V50" s="272"/>
      <c r="W50" s="288">
        <v>114.664</v>
      </c>
      <c r="X50" s="289"/>
      <c r="Y50" s="273" t="s">
        <v>541</v>
      </c>
      <c r="Z50" s="240" t="s">
        <v>130</v>
      </c>
      <c r="AA50" s="48">
        <v>114.664</v>
      </c>
    </row>
    <row r="51" spans="1:27" s="48" customFormat="1" ht="18" customHeight="1">
      <c r="A51" s="159">
        <v>0</v>
      </c>
      <c r="B51" s="160"/>
      <c r="C51" s="160"/>
      <c r="D51" s="161"/>
      <c r="E51" s="265" t="s">
        <v>745</v>
      </c>
      <c r="F51" s="160"/>
      <c r="G51" s="160"/>
      <c r="H51" s="160"/>
      <c r="I51" s="160"/>
      <c r="J51" s="160"/>
      <c r="K51" s="160"/>
      <c r="L51" s="160"/>
      <c r="M51" s="159" t="s">
        <v>925</v>
      </c>
      <c r="N51" s="160"/>
      <c r="O51" s="160"/>
      <c r="P51" s="160"/>
      <c r="Q51" s="160"/>
      <c r="R51" s="283" t="s">
        <v>591</v>
      </c>
      <c r="S51" s="156" t="s">
        <v>19</v>
      </c>
      <c r="T51" s="157">
        <v>2400</v>
      </c>
      <c r="U51" s="271">
        <v>0.1787787610619469</v>
      </c>
      <c r="V51" s="272"/>
      <c r="W51" s="288">
        <v>429.07</v>
      </c>
      <c r="X51" s="289"/>
      <c r="Y51" s="273" t="s">
        <v>538</v>
      </c>
      <c r="Z51" s="240" t="s">
        <v>130</v>
      </c>
      <c r="AA51" s="48">
        <v>429.07</v>
      </c>
    </row>
    <row r="52" spans="1:27" s="48" customFormat="1" ht="18" customHeight="1">
      <c r="A52" s="159">
        <v>0</v>
      </c>
      <c r="B52" s="160"/>
      <c r="C52" s="160"/>
      <c r="D52" s="161"/>
      <c r="E52" s="265" t="s">
        <v>184</v>
      </c>
      <c r="F52" s="160"/>
      <c r="G52" s="160"/>
      <c r="H52" s="160"/>
      <c r="I52" s="160"/>
      <c r="J52" s="160"/>
      <c r="K52" s="160"/>
      <c r="L52" s="160"/>
      <c r="M52" s="159" t="s">
        <v>925</v>
      </c>
      <c r="N52" s="160"/>
      <c r="O52" s="160"/>
      <c r="P52" s="160"/>
      <c r="Q52" s="160"/>
      <c r="R52" s="283" t="s">
        <v>183</v>
      </c>
      <c r="S52" s="156" t="s">
        <v>19</v>
      </c>
      <c r="T52" s="157">
        <v>1000</v>
      </c>
      <c r="U52" s="271">
        <v>0.19513274336283185</v>
      </c>
      <c r="V52" s="272"/>
      <c r="W52" s="288">
        <v>195.13300000000001</v>
      </c>
      <c r="X52" s="289"/>
      <c r="Y52" s="273" t="s">
        <v>539</v>
      </c>
      <c r="Z52" s="240" t="s">
        <v>130</v>
      </c>
      <c r="AA52" s="48">
        <v>195.13300000000001</v>
      </c>
    </row>
    <row r="53" spans="1:27" s="48" customFormat="1" ht="18" customHeight="1">
      <c r="A53" s="159">
        <v>0</v>
      </c>
      <c r="B53" s="160"/>
      <c r="C53" s="160"/>
      <c r="D53" s="161"/>
      <c r="E53" s="265" t="s">
        <v>451</v>
      </c>
      <c r="F53" s="160"/>
      <c r="G53" s="160"/>
      <c r="H53" s="160"/>
      <c r="I53" s="160"/>
      <c r="J53" s="160"/>
      <c r="K53" s="160"/>
      <c r="L53" s="160"/>
      <c r="M53" s="159" t="s">
        <v>926</v>
      </c>
      <c r="N53" s="160"/>
      <c r="O53" s="160"/>
      <c r="P53" s="160"/>
      <c r="Q53" s="160"/>
      <c r="R53" s="283" t="s">
        <v>375</v>
      </c>
      <c r="S53" s="156" t="s">
        <v>19</v>
      </c>
      <c r="T53" s="157">
        <v>3500</v>
      </c>
      <c r="U53" s="271">
        <v>3.9867256637168141E-2</v>
      </c>
      <c r="V53" s="272"/>
      <c r="W53" s="288">
        <v>139.536</v>
      </c>
      <c r="X53" s="289"/>
      <c r="Y53" s="273" t="s">
        <v>539</v>
      </c>
      <c r="Z53" s="240" t="s">
        <v>130</v>
      </c>
      <c r="AA53" s="48">
        <v>139.536</v>
      </c>
    </row>
    <row r="54" spans="1:27" s="48" customFormat="1" ht="18" customHeight="1">
      <c r="A54" s="159">
        <v>0</v>
      </c>
      <c r="B54" s="160"/>
      <c r="C54" s="160"/>
      <c r="D54" s="161"/>
      <c r="E54" s="265" t="s">
        <v>746</v>
      </c>
      <c r="F54" s="160"/>
      <c r="G54" s="160"/>
      <c r="H54" s="160"/>
      <c r="I54" s="160"/>
      <c r="J54" s="160"/>
      <c r="K54" s="160"/>
      <c r="L54" s="160"/>
      <c r="M54" s="159" t="s">
        <v>925</v>
      </c>
      <c r="N54" s="160"/>
      <c r="O54" s="160"/>
      <c r="P54" s="160"/>
      <c r="Q54" s="160"/>
      <c r="R54" s="283" t="s">
        <v>598</v>
      </c>
      <c r="S54" s="156" t="s">
        <v>19</v>
      </c>
      <c r="T54" s="157">
        <v>2025</v>
      </c>
      <c r="U54" s="271">
        <v>0.34007079646017696</v>
      </c>
      <c r="V54" s="272"/>
      <c r="W54" s="288">
        <v>688.64400000000001</v>
      </c>
      <c r="X54" s="289"/>
      <c r="Y54" s="273" t="s">
        <v>538</v>
      </c>
      <c r="Z54" s="240" t="s">
        <v>130</v>
      </c>
      <c r="AA54" s="48">
        <v>688.64400000000001</v>
      </c>
    </row>
    <row r="55" spans="1:27" s="48" customFormat="1" ht="18" customHeight="1">
      <c r="A55" s="159">
        <v>0</v>
      </c>
      <c r="B55" s="160"/>
      <c r="C55" s="160"/>
      <c r="D55" s="161"/>
      <c r="E55" s="265" t="s">
        <v>747</v>
      </c>
      <c r="F55" s="160"/>
      <c r="G55" s="160"/>
      <c r="H55" s="160"/>
      <c r="I55" s="160"/>
      <c r="J55" s="160"/>
      <c r="K55" s="160"/>
      <c r="L55" s="160"/>
      <c r="M55" s="159" t="s">
        <v>925</v>
      </c>
      <c r="N55" s="160"/>
      <c r="O55" s="160"/>
      <c r="P55" s="160"/>
      <c r="Q55" s="160"/>
      <c r="R55" s="283" t="s">
        <v>599</v>
      </c>
      <c r="S55" s="156" t="s">
        <v>19</v>
      </c>
      <c r="T55" s="157">
        <v>5544</v>
      </c>
      <c r="U55" s="271">
        <v>0.41892035398230087</v>
      </c>
      <c r="V55" s="272"/>
      <c r="W55" s="288">
        <v>2322.4950000000003</v>
      </c>
      <c r="X55" s="289"/>
      <c r="Y55" s="273" t="s">
        <v>538</v>
      </c>
      <c r="Z55" s="240" t="s">
        <v>130</v>
      </c>
      <c r="AA55" s="48">
        <v>2322.4950000000003</v>
      </c>
    </row>
    <row r="56" spans="1:27" s="48" customFormat="1" ht="18" customHeight="1">
      <c r="A56" s="159">
        <v>0</v>
      </c>
      <c r="B56" s="160"/>
      <c r="C56" s="160"/>
      <c r="D56" s="161"/>
      <c r="E56" s="265" t="s">
        <v>445</v>
      </c>
      <c r="F56" s="160"/>
      <c r="G56" s="160"/>
      <c r="H56" s="160"/>
      <c r="I56" s="160"/>
      <c r="J56" s="160"/>
      <c r="K56" s="160"/>
      <c r="L56" s="160"/>
      <c r="M56" s="159" t="s">
        <v>926</v>
      </c>
      <c r="N56" s="160"/>
      <c r="O56" s="160"/>
      <c r="P56" s="160"/>
      <c r="Q56" s="160"/>
      <c r="R56" s="283" t="s">
        <v>369</v>
      </c>
      <c r="S56" s="156" t="s">
        <v>19</v>
      </c>
      <c r="T56" s="157">
        <v>1344</v>
      </c>
      <c r="U56" s="271">
        <v>0.57815044247787606</v>
      </c>
      <c r="V56" s="272"/>
      <c r="W56" s="288">
        <v>777.03499999999997</v>
      </c>
      <c r="X56" s="289"/>
      <c r="Y56" s="273" t="s">
        <v>538</v>
      </c>
      <c r="Z56" s="240" t="s">
        <v>130</v>
      </c>
      <c r="AA56" s="48">
        <v>777.03499999999997</v>
      </c>
    </row>
    <row r="57" spans="1:27" s="48" customFormat="1" ht="18" customHeight="1">
      <c r="A57" s="159">
        <v>0</v>
      </c>
      <c r="B57" s="160"/>
      <c r="C57" s="160"/>
      <c r="D57" s="161"/>
      <c r="E57" s="265" t="s">
        <v>748</v>
      </c>
      <c r="F57" s="160"/>
      <c r="G57" s="160"/>
      <c r="H57" s="160"/>
      <c r="I57" s="160"/>
      <c r="J57" s="160"/>
      <c r="K57" s="160"/>
      <c r="L57" s="160"/>
      <c r="M57" s="159" t="s">
        <v>925</v>
      </c>
      <c r="N57" s="160"/>
      <c r="O57" s="160"/>
      <c r="P57" s="160"/>
      <c r="Q57" s="160"/>
      <c r="R57" s="283" t="s">
        <v>608</v>
      </c>
      <c r="S57" s="156" t="s">
        <v>19</v>
      </c>
      <c r="T57" s="157">
        <v>2199</v>
      </c>
      <c r="U57" s="271">
        <v>0.93641592920353989</v>
      </c>
      <c r="V57" s="272"/>
      <c r="W57" s="288">
        <v>2059.1790000000001</v>
      </c>
      <c r="X57" s="289"/>
      <c r="Y57" s="273" t="s">
        <v>538</v>
      </c>
      <c r="Z57" s="240" t="s">
        <v>130</v>
      </c>
      <c r="AA57" s="48">
        <v>2059.1790000000001</v>
      </c>
    </row>
    <row r="58" spans="1:27" s="48" customFormat="1" ht="18" customHeight="1">
      <c r="A58" s="159">
        <v>0</v>
      </c>
      <c r="B58" s="160"/>
      <c r="C58" s="160"/>
      <c r="D58" s="161"/>
      <c r="E58" s="265" t="s">
        <v>749</v>
      </c>
      <c r="F58" s="160"/>
      <c r="G58" s="160"/>
      <c r="H58" s="160"/>
      <c r="I58" s="160"/>
      <c r="J58" s="160"/>
      <c r="K58" s="160"/>
      <c r="L58" s="160"/>
      <c r="M58" s="159" t="s">
        <v>925</v>
      </c>
      <c r="N58" s="160"/>
      <c r="O58" s="160"/>
      <c r="P58" s="160"/>
      <c r="Q58" s="160"/>
      <c r="R58" s="283" t="s">
        <v>609</v>
      </c>
      <c r="S58" s="156" t="s">
        <v>19</v>
      </c>
      <c r="T58" s="157">
        <v>2376</v>
      </c>
      <c r="U58" s="239">
        <v>0.93641592920353989</v>
      </c>
      <c r="V58" s="225"/>
      <c r="W58" s="288">
        <v>2224.9250000000002</v>
      </c>
      <c r="X58" s="289"/>
      <c r="Y58" s="258" t="s">
        <v>538</v>
      </c>
      <c r="Z58" s="240" t="s">
        <v>130</v>
      </c>
      <c r="AA58" s="48">
        <v>2224.9250000000002</v>
      </c>
    </row>
    <row r="59" spans="1:27" s="48" customFormat="1" ht="18" customHeight="1">
      <c r="A59" s="159">
        <v>0</v>
      </c>
      <c r="B59" s="160"/>
      <c r="C59" s="160"/>
      <c r="D59" s="161"/>
      <c r="E59" s="265" t="s">
        <v>36</v>
      </c>
      <c r="F59" s="160"/>
      <c r="G59" s="160"/>
      <c r="H59" s="160"/>
      <c r="I59" s="160"/>
      <c r="J59" s="160"/>
      <c r="K59" s="160"/>
      <c r="L59" s="160"/>
      <c r="M59" s="159" t="s">
        <v>926</v>
      </c>
      <c r="N59" s="160"/>
      <c r="O59" s="160"/>
      <c r="P59" s="160"/>
      <c r="Q59" s="160"/>
      <c r="R59" s="283" t="s">
        <v>106</v>
      </c>
      <c r="S59" s="156" t="s">
        <v>19</v>
      </c>
      <c r="T59" s="157">
        <v>120</v>
      </c>
      <c r="U59" s="239">
        <v>1.997787610619469</v>
      </c>
      <c r="V59" s="225"/>
      <c r="W59" s="288">
        <v>239.73500000000001</v>
      </c>
      <c r="X59" s="289"/>
      <c r="Y59" s="258" t="s">
        <v>538</v>
      </c>
      <c r="Z59" s="240" t="s">
        <v>130</v>
      </c>
      <c r="AA59" s="48">
        <v>239.73500000000001</v>
      </c>
    </row>
    <row r="60" spans="1:27" s="48" customFormat="1" ht="18" customHeight="1">
      <c r="A60" s="159">
        <v>0</v>
      </c>
      <c r="B60" s="160"/>
      <c r="C60" s="160"/>
      <c r="D60" s="161"/>
      <c r="E60" s="265" t="s">
        <v>750</v>
      </c>
      <c r="F60" s="160"/>
      <c r="G60" s="160"/>
      <c r="H60" s="160"/>
      <c r="I60" s="160"/>
      <c r="J60" s="160"/>
      <c r="K60" s="160"/>
      <c r="L60" s="160"/>
      <c r="M60" s="159" t="s">
        <v>925</v>
      </c>
      <c r="N60" s="160"/>
      <c r="O60" s="160"/>
      <c r="P60" s="160"/>
      <c r="Q60" s="160"/>
      <c r="R60" s="283" t="s">
        <v>610</v>
      </c>
      <c r="S60" s="156" t="s">
        <v>19</v>
      </c>
      <c r="T60" s="157">
        <v>1350</v>
      </c>
      <c r="U60" s="239">
        <v>2.4642477876106192</v>
      </c>
      <c r="V60" s="225"/>
      <c r="W60" s="288">
        <v>3326.7350000000001</v>
      </c>
      <c r="X60" s="289"/>
      <c r="Y60" s="258" t="s">
        <v>538</v>
      </c>
      <c r="Z60" s="240" t="s">
        <v>130</v>
      </c>
      <c r="AA60" s="48">
        <v>3326.7350000000001</v>
      </c>
    </row>
    <row r="61" spans="1:27" s="48" customFormat="1" ht="18" customHeight="1">
      <c r="A61" s="159">
        <v>0</v>
      </c>
      <c r="B61" s="160"/>
      <c r="C61" s="160"/>
      <c r="D61" s="161"/>
      <c r="E61" s="265" t="s">
        <v>751</v>
      </c>
      <c r="F61" s="160"/>
      <c r="G61" s="160"/>
      <c r="H61" s="160"/>
      <c r="I61" s="160"/>
      <c r="J61" s="160"/>
      <c r="K61" s="160"/>
      <c r="L61" s="160"/>
      <c r="M61" s="159" t="s">
        <v>925</v>
      </c>
      <c r="N61" s="160"/>
      <c r="O61" s="160"/>
      <c r="P61" s="160"/>
      <c r="Q61" s="160"/>
      <c r="R61" s="283" t="s">
        <v>611</v>
      </c>
      <c r="S61" s="156" t="s">
        <v>19</v>
      </c>
      <c r="T61" s="157">
        <v>1280</v>
      </c>
      <c r="U61" s="239">
        <v>0.18881415929203541</v>
      </c>
      <c r="V61" s="225"/>
      <c r="W61" s="288">
        <v>241.68299999999999</v>
      </c>
      <c r="X61" s="289"/>
      <c r="Y61" s="258" t="s">
        <v>538</v>
      </c>
      <c r="Z61" s="240" t="s">
        <v>130</v>
      </c>
      <c r="AA61" s="48">
        <v>241.68299999999999</v>
      </c>
    </row>
    <row r="62" spans="1:27" s="48" customFormat="1" ht="18" customHeight="1">
      <c r="A62" s="159">
        <v>0</v>
      </c>
      <c r="B62" s="160"/>
      <c r="C62" s="160"/>
      <c r="D62" s="161"/>
      <c r="E62" s="265" t="s">
        <v>752</v>
      </c>
      <c r="F62" s="160"/>
      <c r="G62" s="160"/>
      <c r="H62" s="160"/>
      <c r="I62" s="160"/>
      <c r="J62" s="160"/>
      <c r="K62" s="160"/>
      <c r="L62" s="160"/>
      <c r="M62" s="159" t="s">
        <v>928</v>
      </c>
      <c r="N62" s="160"/>
      <c r="O62" s="160"/>
      <c r="P62" s="160"/>
      <c r="Q62" s="160"/>
      <c r="R62" s="283" t="s">
        <v>614</v>
      </c>
      <c r="S62" s="156" t="s">
        <v>19</v>
      </c>
      <c r="T62" s="157">
        <v>1400</v>
      </c>
      <c r="U62" s="239">
        <v>0.21743362831858407</v>
      </c>
      <c r="V62" s="225"/>
      <c r="W62" s="288">
        <v>304.40799999999996</v>
      </c>
      <c r="X62" s="289"/>
      <c r="Y62" s="258" t="s">
        <v>538</v>
      </c>
      <c r="Z62" s="240" t="s">
        <v>125</v>
      </c>
      <c r="AA62" s="48">
        <v>304.40799999999996</v>
      </c>
    </row>
    <row r="63" spans="1:27" s="48" customFormat="1" ht="18" customHeight="1">
      <c r="A63" s="159">
        <v>0</v>
      </c>
      <c r="B63" s="160"/>
      <c r="C63" s="160"/>
      <c r="D63" s="161"/>
      <c r="E63" s="265" t="s">
        <v>753</v>
      </c>
      <c r="F63" s="160"/>
      <c r="G63" s="160"/>
      <c r="H63" s="160"/>
      <c r="I63" s="160"/>
      <c r="J63" s="160"/>
      <c r="K63" s="160"/>
      <c r="L63" s="160"/>
      <c r="M63" s="159" t="s">
        <v>925</v>
      </c>
      <c r="N63" s="160"/>
      <c r="O63" s="160"/>
      <c r="P63" s="160"/>
      <c r="Q63" s="160"/>
      <c r="R63" s="283" t="s">
        <v>620</v>
      </c>
      <c r="S63" s="156" t="s">
        <v>19</v>
      </c>
      <c r="T63" s="157">
        <v>2472</v>
      </c>
      <c r="U63" s="239">
        <v>1.159646017699115</v>
      </c>
      <c r="V63" s="225"/>
      <c r="W63" s="288">
        <v>2866.645</v>
      </c>
      <c r="X63" s="289"/>
      <c r="Y63" s="258" t="s">
        <v>538</v>
      </c>
      <c r="Z63" s="240" t="s">
        <v>130</v>
      </c>
      <c r="AA63" s="48">
        <v>2866.645</v>
      </c>
    </row>
    <row r="64" spans="1:27" s="48" customFormat="1" ht="18" customHeight="1">
      <c r="A64" s="159">
        <v>0</v>
      </c>
      <c r="B64" s="160"/>
      <c r="C64" s="160"/>
      <c r="D64" s="161"/>
      <c r="E64" s="265" t="s">
        <v>754</v>
      </c>
      <c r="F64" s="160"/>
      <c r="G64" s="160"/>
      <c r="H64" s="160"/>
      <c r="I64" s="160"/>
      <c r="J64" s="160"/>
      <c r="K64" s="160"/>
      <c r="L64" s="160"/>
      <c r="M64" s="159" t="s">
        <v>925</v>
      </c>
      <c r="N64" s="160"/>
      <c r="O64" s="160"/>
      <c r="P64" s="160"/>
      <c r="Q64" s="160"/>
      <c r="R64" s="283" t="s">
        <v>627</v>
      </c>
      <c r="S64" s="156" t="s">
        <v>19</v>
      </c>
      <c r="T64" s="157">
        <v>2560</v>
      </c>
      <c r="U64" s="239">
        <v>0.64070796460176993</v>
      </c>
      <c r="V64" s="225"/>
      <c r="W64" s="288">
        <v>1640.213</v>
      </c>
      <c r="X64" s="289"/>
      <c r="Y64" s="258" t="s">
        <v>538</v>
      </c>
      <c r="Z64" s="240" t="s">
        <v>130</v>
      </c>
      <c r="AA64" s="48">
        <v>1640.213</v>
      </c>
    </row>
    <row r="65" spans="1:27" s="48" customFormat="1" ht="18" customHeight="1">
      <c r="A65" s="159">
        <v>0</v>
      </c>
      <c r="B65" s="160"/>
      <c r="C65" s="160"/>
      <c r="D65" s="161"/>
      <c r="E65" s="265" t="s">
        <v>44</v>
      </c>
      <c r="F65" s="160"/>
      <c r="G65" s="160"/>
      <c r="H65" s="160"/>
      <c r="I65" s="160"/>
      <c r="J65" s="160"/>
      <c r="K65" s="160"/>
      <c r="L65" s="160"/>
      <c r="M65" s="159" t="s">
        <v>925</v>
      </c>
      <c r="N65" s="160"/>
      <c r="O65" s="160"/>
      <c r="P65" s="160"/>
      <c r="Q65" s="160"/>
      <c r="R65" s="283" t="s">
        <v>103</v>
      </c>
      <c r="S65" s="156" t="s">
        <v>19</v>
      </c>
      <c r="T65" s="157">
        <v>4080</v>
      </c>
      <c r="U65" s="239">
        <v>0.35588495575221235</v>
      </c>
      <c r="V65" s="225"/>
      <c r="W65" s="288">
        <v>1452.011</v>
      </c>
      <c r="X65" s="289"/>
      <c r="Y65" s="258" t="s">
        <v>538</v>
      </c>
      <c r="Z65" s="240" t="s">
        <v>130</v>
      </c>
      <c r="AA65" s="48">
        <v>1452.011</v>
      </c>
    </row>
    <row r="66" spans="1:27" s="48" customFormat="1" ht="18" customHeight="1">
      <c r="A66" s="159">
        <v>0</v>
      </c>
      <c r="B66" s="160"/>
      <c r="C66" s="160"/>
      <c r="D66" s="161"/>
      <c r="E66" s="265" t="s">
        <v>192</v>
      </c>
      <c r="F66" s="160"/>
      <c r="G66" s="160"/>
      <c r="H66" s="160"/>
      <c r="I66" s="160"/>
      <c r="J66" s="160"/>
      <c r="K66" s="160"/>
      <c r="L66" s="160"/>
      <c r="M66" s="159" t="s">
        <v>925</v>
      </c>
      <c r="N66" s="160"/>
      <c r="O66" s="160"/>
      <c r="P66" s="160"/>
      <c r="Q66" s="160"/>
      <c r="R66" s="283" t="s">
        <v>191</v>
      </c>
      <c r="S66" s="156" t="s">
        <v>19</v>
      </c>
      <c r="T66" s="157">
        <v>400</v>
      </c>
      <c r="U66" s="239">
        <v>0.50641592920353984</v>
      </c>
      <c r="V66" s="225"/>
      <c r="W66" s="288">
        <v>202.56700000000001</v>
      </c>
      <c r="X66" s="289"/>
      <c r="Y66" s="258" t="s">
        <v>538</v>
      </c>
      <c r="Z66" s="240" t="s">
        <v>197</v>
      </c>
      <c r="AA66" s="48">
        <v>202.56700000000001</v>
      </c>
    </row>
    <row r="67" spans="1:27" s="48" customFormat="1" ht="18" customHeight="1">
      <c r="A67" s="159">
        <v>0</v>
      </c>
      <c r="B67" s="160"/>
      <c r="C67" s="160"/>
      <c r="D67" s="161"/>
      <c r="E67" s="265" t="s">
        <v>755</v>
      </c>
      <c r="F67" s="160"/>
      <c r="G67" s="160"/>
      <c r="H67" s="160"/>
      <c r="I67" s="160"/>
      <c r="J67" s="160"/>
      <c r="K67" s="160"/>
      <c r="L67" s="160"/>
      <c r="M67" s="159" t="s">
        <v>925</v>
      </c>
      <c r="N67" s="160"/>
      <c r="O67" s="160"/>
      <c r="P67" s="160"/>
      <c r="Q67" s="160"/>
      <c r="R67" s="283" t="s">
        <v>596</v>
      </c>
      <c r="S67" s="156" t="s">
        <v>19</v>
      </c>
      <c r="T67" s="157">
        <v>1345</v>
      </c>
      <c r="U67" s="239">
        <v>0.5686725663716814</v>
      </c>
      <c r="V67" s="225"/>
      <c r="W67" s="288">
        <v>764.86500000000001</v>
      </c>
      <c r="X67" s="289"/>
      <c r="Y67" s="258" t="s">
        <v>538</v>
      </c>
      <c r="Z67" s="240" t="s">
        <v>130</v>
      </c>
      <c r="AA67" s="48">
        <v>764.86500000000001</v>
      </c>
    </row>
    <row r="68" spans="1:27" s="48" customFormat="1" ht="18" customHeight="1">
      <c r="A68" s="159">
        <v>0</v>
      </c>
      <c r="B68" s="160"/>
      <c r="C68" s="160"/>
      <c r="D68" s="161"/>
      <c r="E68" s="265" t="s">
        <v>462</v>
      </c>
      <c r="F68" s="160"/>
      <c r="G68" s="160"/>
      <c r="H68" s="160"/>
      <c r="I68" s="160"/>
      <c r="J68" s="160"/>
      <c r="K68" s="160"/>
      <c r="L68" s="160"/>
      <c r="M68" s="159" t="s">
        <v>925</v>
      </c>
      <c r="N68" s="160"/>
      <c r="O68" s="160"/>
      <c r="P68" s="160"/>
      <c r="Q68" s="160"/>
      <c r="R68" s="283" t="s">
        <v>386</v>
      </c>
      <c r="S68" s="156" t="s">
        <v>19</v>
      </c>
      <c r="T68" s="157">
        <v>1879</v>
      </c>
      <c r="U68" s="239">
        <v>0.28712389380530973</v>
      </c>
      <c r="V68" s="225"/>
      <c r="W68" s="288">
        <v>539.50599999999997</v>
      </c>
      <c r="X68" s="289"/>
      <c r="Y68" s="258" t="s">
        <v>544</v>
      </c>
      <c r="Z68" s="240" t="s">
        <v>130</v>
      </c>
      <c r="AA68" s="48">
        <v>539.50599999999997</v>
      </c>
    </row>
    <row r="69" spans="1:27" s="48" customFormat="1" ht="18" customHeight="1">
      <c r="A69" s="159">
        <v>0</v>
      </c>
      <c r="B69" s="160"/>
      <c r="C69" s="160"/>
      <c r="D69" s="161"/>
      <c r="E69" s="265" t="s">
        <v>134</v>
      </c>
      <c r="F69" s="160"/>
      <c r="G69" s="160"/>
      <c r="H69" s="160"/>
      <c r="I69" s="160"/>
      <c r="J69" s="160"/>
      <c r="K69" s="160"/>
      <c r="L69" s="160"/>
      <c r="M69" s="159" t="s">
        <v>925</v>
      </c>
      <c r="N69" s="160"/>
      <c r="O69" s="160"/>
      <c r="P69" s="160"/>
      <c r="Q69" s="160"/>
      <c r="R69" s="283" t="s">
        <v>133</v>
      </c>
      <c r="S69" s="156" t="s">
        <v>19</v>
      </c>
      <c r="T69" s="157">
        <v>400</v>
      </c>
      <c r="U69" s="239">
        <v>0.56123893805309744</v>
      </c>
      <c r="V69" s="225"/>
      <c r="W69" s="288">
        <v>224.49600000000001</v>
      </c>
      <c r="X69" s="289"/>
      <c r="Y69" s="258" t="s">
        <v>544</v>
      </c>
      <c r="Z69" s="240" t="s">
        <v>130</v>
      </c>
      <c r="AA69" s="48">
        <v>224.49600000000001</v>
      </c>
    </row>
    <row r="70" spans="1:27" s="48" customFormat="1" ht="18" customHeight="1">
      <c r="A70" s="159">
        <v>0</v>
      </c>
      <c r="B70" s="160"/>
      <c r="C70" s="160"/>
      <c r="D70" s="161"/>
      <c r="E70" s="265" t="s">
        <v>37</v>
      </c>
      <c r="F70" s="160"/>
      <c r="G70" s="160"/>
      <c r="H70" s="160"/>
      <c r="I70" s="160"/>
      <c r="J70" s="160"/>
      <c r="K70" s="160"/>
      <c r="L70" s="160"/>
      <c r="M70" s="159" t="s">
        <v>928</v>
      </c>
      <c r="N70" s="160"/>
      <c r="O70" s="160"/>
      <c r="P70" s="160"/>
      <c r="Q70" s="160"/>
      <c r="R70" s="283" t="s">
        <v>119</v>
      </c>
      <c r="S70" s="156" t="s">
        <v>19</v>
      </c>
      <c r="T70" s="157">
        <v>146</v>
      </c>
      <c r="U70" s="239">
        <v>7.1548672566371679E-2</v>
      </c>
      <c r="V70" s="225"/>
      <c r="W70" s="288">
        <v>10.446999999999999</v>
      </c>
      <c r="X70" s="289"/>
      <c r="Y70" s="258" t="s">
        <v>538</v>
      </c>
      <c r="Z70" s="240" t="s">
        <v>130</v>
      </c>
      <c r="AA70" s="48">
        <v>10.446999999999999</v>
      </c>
    </row>
    <row r="71" spans="1:27" s="48" customFormat="1" ht="18" customHeight="1">
      <c r="A71" s="159">
        <v>0</v>
      </c>
      <c r="B71" s="160"/>
      <c r="C71" s="160"/>
      <c r="D71" s="161"/>
      <c r="E71" s="265" t="s">
        <v>756</v>
      </c>
      <c r="F71" s="160"/>
      <c r="G71" s="160"/>
      <c r="H71" s="160"/>
      <c r="I71" s="160"/>
      <c r="J71" s="160"/>
      <c r="K71" s="160"/>
      <c r="L71" s="160"/>
      <c r="M71" s="159" t="s">
        <v>928</v>
      </c>
      <c r="N71" s="160"/>
      <c r="O71" s="160"/>
      <c r="P71" s="160"/>
      <c r="Q71" s="160"/>
      <c r="R71" s="283" t="s">
        <v>613</v>
      </c>
      <c r="S71" s="156" t="s">
        <v>19</v>
      </c>
      <c r="T71" s="157">
        <v>1358</v>
      </c>
      <c r="U71" s="239">
        <v>9.8566371681415924E-2</v>
      </c>
      <c r="V71" s="225"/>
      <c r="W71" s="288">
        <v>133.85400000000001</v>
      </c>
      <c r="X71" s="289"/>
      <c r="Y71" s="258" t="s">
        <v>538</v>
      </c>
      <c r="Z71" s="240" t="s">
        <v>125</v>
      </c>
      <c r="AA71" s="48">
        <v>133.85400000000001</v>
      </c>
    </row>
    <row r="72" spans="1:27" s="48" customFormat="1" ht="18" customHeight="1">
      <c r="A72" s="159">
        <v>0</v>
      </c>
      <c r="B72" s="160"/>
      <c r="C72" s="160"/>
      <c r="D72" s="161"/>
      <c r="E72" s="265" t="s">
        <v>173</v>
      </c>
      <c r="F72" s="160"/>
      <c r="G72" s="160"/>
      <c r="H72" s="160"/>
      <c r="I72" s="160"/>
      <c r="J72" s="160"/>
      <c r="K72" s="160"/>
      <c r="L72" s="160"/>
      <c r="M72" s="159" t="s">
        <v>925</v>
      </c>
      <c r="N72" s="160"/>
      <c r="O72" s="160"/>
      <c r="P72" s="160"/>
      <c r="Q72" s="160"/>
      <c r="R72" s="283" t="s">
        <v>172</v>
      </c>
      <c r="S72" s="156" t="s">
        <v>19</v>
      </c>
      <c r="T72" s="157">
        <v>2121</v>
      </c>
      <c r="U72" s="239">
        <v>0.80970796460176997</v>
      </c>
      <c r="V72" s="225"/>
      <c r="W72" s="288">
        <v>1717.3910000000001</v>
      </c>
      <c r="X72" s="289"/>
      <c r="Y72" s="258" t="s">
        <v>538</v>
      </c>
      <c r="Z72" s="240" t="s">
        <v>130</v>
      </c>
      <c r="AA72" s="48">
        <v>1717.3910000000001</v>
      </c>
    </row>
    <row r="73" spans="1:27" s="48" customFormat="1" ht="18" customHeight="1">
      <c r="A73" s="159">
        <v>0</v>
      </c>
      <c r="B73" s="160"/>
      <c r="C73" s="160"/>
      <c r="D73" s="161"/>
      <c r="E73" s="265" t="s">
        <v>757</v>
      </c>
      <c r="F73" s="160"/>
      <c r="G73" s="160"/>
      <c r="H73" s="160"/>
      <c r="I73" s="160"/>
      <c r="J73" s="160"/>
      <c r="K73" s="160"/>
      <c r="L73" s="160"/>
      <c r="M73" s="159" t="s">
        <v>929</v>
      </c>
      <c r="N73" s="160"/>
      <c r="O73" s="160"/>
      <c r="P73" s="160"/>
      <c r="Q73" s="160"/>
      <c r="R73" s="283" t="s">
        <v>710</v>
      </c>
      <c r="S73" s="156" t="s">
        <v>19</v>
      </c>
      <c r="T73" s="157">
        <v>164</v>
      </c>
      <c r="U73" s="239">
        <v>1.2414159292035398</v>
      </c>
      <c r="V73" s="225"/>
      <c r="W73" s="288">
        <v>203.59300000000002</v>
      </c>
      <c r="X73" s="289"/>
      <c r="Y73" s="258" t="s">
        <v>538</v>
      </c>
      <c r="Z73" s="240" t="s">
        <v>130</v>
      </c>
      <c r="AA73" s="48">
        <v>203.59300000000002</v>
      </c>
    </row>
    <row r="74" spans="1:27" s="48" customFormat="1" ht="18" customHeight="1">
      <c r="A74" s="159">
        <v>0</v>
      </c>
      <c r="B74" s="160"/>
      <c r="C74" s="160"/>
      <c r="D74" s="161"/>
      <c r="E74" s="265" t="s">
        <v>756</v>
      </c>
      <c r="F74" s="160"/>
      <c r="G74" s="160"/>
      <c r="H74" s="160"/>
      <c r="I74" s="160"/>
      <c r="J74" s="160"/>
      <c r="K74" s="160"/>
      <c r="L74" s="160"/>
      <c r="M74" s="159" t="s">
        <v>928</v>
      </c>
      <c r="N74" s="160"/>
      <c r="O74" s="160"/>
      <c r="P74" s="160"/>
      <c r="Q74" s="160"/>
      <c r="R74" s="283" t="s">
        <v>612</v>
      </c>
      <c r="S74" s="156" t="s">
        <v>19</v>
      </c>
      <c r="T74" s="157">
        <v>1358</v>
      </c>
      <c r="U74" s="239">
        <v>0.18168141592920356</v>
      </c>
      <c r="V74" s="225"/>
      <c r="W74" s="288">
        <v>246.72400000000002</v>
      </c>
      <c r="X74" s="289"/>
      <c r="Y74" s="258" t="s">
        <v>538</v>
      </c>
      <c r="Z74" s="240" t="s">
        <v>125</v>
      </c>
      <c r="AA74" s="48">
        <v>246.72400000000002</v>
      </c>
    </row>
    <row r="75" spans="1:27" s="48" customFormat="1" ht="18" customHeight="1">
      <c r="A75" s="159">
        <v>0</v>
      </c>
      <c r="B75" s="160"/>
      <c r="C75" s="160"/>
      <c r="D75" s="161"/>
      <c r="E75" s="265" t="s">
        <v>758</v>
      </c>
      <c r="F75" s="160"/>
      <c r="G75" s="160"/>
      <c r="H75" s="160"/>
      <c r="I75" s="160"/>
      <c r="J75" s="160"/>
      <c r="K75" s="160"/>
      <c r="L75" s="160"/>
      <c r="M75" s="159" t="s">
        <v>930</v>
      </c>
      <c r="N75" s="160"/>
      <c r="O75" s="160"/>
      <c r="P75" s="160"/>
      <c r="Q75" s="160"/>
      <c r="R75" s="283" t="s">
        <v>648</v>
      </c>
      <c r="S75" s="156" t="s">
        <v>19</v>
      </c>
      <c r="T75" s="157">
        <v>12000</v>
      </c>
      <c r="U75" s="239">
        <v>1.3008849557522123E-2</v>
      </c>
      <c r="V75" s="225"/>
      <c r="W75" s="288">
        <v>156.107</v>
      </c>
      <c r="X75" s="289"/>
      <c r="Y75" s="258" t="s">
        <v>538</v>
      </c>
      <c r="Z75" s="240" t="s">
        <v>650</v>
      </c>
      <c r="AA75" s="48">
        <v>156.107</v>
      </c>
    </row>
    <row r="76" spans="1:27" s="48" customFormat="1" ht="18" customHeight="1">
      <c r="A76" s="159">
        <v>0</v>
      </c>
      <c r="B76" s="160"/>
      <c r="C76" s="160"/>
      <c r="D76" s="161"/>
      <c r="E76" s="265" t="s">
        <v>23</v>
      </c>
      <c r="F76" s="160"/>
      <c r="G76" s="160"/>
      <c r="H76" s="160"/>
      <c r="I76" s="160"/>
      <c r="J76" s="160"/>
      <c r="K76" s="160"/>
      <c r="L76" s="160"/>
      <c r="M76" s="159" t="s">
        <v>928</v>
      </c>
      <c r="N76" s="160"/>
      <c r="O76" s="160"/>
      <c r="P76" s="160"/>
      <c r="Q76" s="160"/>
      <c r="R76" s="283" t="s">
        <v>109</v>
      </c>
      <c r="S76" s="156" t="s">
        <v>19</v>
      </c>
      <c r="T76" s="157">
        <v>51000</v>
      </c>
      <c r="U76" s="239">
        <v>9.2920353982300884E-3</v>
      </c>
      <c r="V76" s="225"/>
      <c r="W76" s="288">
        <v>473.89399999999995</v>
      </c>
      <c r="X76" s="289"/>
      <c r="Y76" s="258" t="s">
        <v>538</v>
      </c>
      <c r="Z76" s="240" t="s">
        <v>125</v>
      </c>
      <c r="AA76" s="48">
        <v>473.89399999999995</v>
      </c>
    </row>
    <row r="77" spans="1:27" s="48" customFormat="1" ht="18" customHeight="1">
      <c r="A77" s="159">
        <v>0</v>
      </c>
      <c r="B77" s="160"/>
      <c r="C77" s="160"/>
      <c r="D77" s="161"/>
      <c r="E77" s="265" t="s">
        <v>20</v>
      </c>
      <c r="F77" s="160"/>
      <c r="G77" s="160"/>
      <c r="H77" s="160"/>
      <c r="I77" s="160"/>
      <c r="J77" s="160"/>
      <c r="K77" s="160"/>
      <c r="L77" s="160"/>
      <c r="M77" s="159" t="s">
        <v>930</v>
      </c>
      <c r="N77" s="160"/>
      <c r="O77" s="160"/>
      <c r="P77" s="160"/>
      <c r="Q77" s="160"/>
      <c r="R77" s="283" t="s">
        <v>65</v>
      </c>
      <c r="S77" s="156" t="s">
        <v>19</v>
      </c>
      <c r="T77" s="157">
        <v>70000</v>
      </c>
      <c r="U77" s="239">
        <v>1.0221238938053098E-2</v>
      </c>
      <c r="V77" s="225"/>
      <c r="W77" s="288">
        <v>715.48699999999997</v>
      </c>
      <c r="X77" s="289"/>
      <c r="Y77" s="258" t="s">
        <v>538</v>
      </c>
      <c r="Z77" s="240" t="s">
        <v>125</v>
      </c>
      <c r="AA77" s="48">
        <v>715.48699999999997</v>
      </c>
    </row>
    <row r="78" spans="1:27" s="48" customFormat="1" ht="18" customHeight="1">
      <c r="A78" s="159">
        <v>0</v>
      </c>
      <c r="B78" s="160"/>
      <c r="C78" s="160"/>
      <c r="D78" s="161"/>
      <c r="E78" s="265" t="s">
        <v>759</v>
      </c>
      <c r="F78" s="160"/>
      <c r="G78" s="160"/>
      <c r="H78" s="160"/>
      <c r="I78" s="160"/>
      <c r="J78" s="160"/>
      <c r="K78" s="160"/>
      <c r="L78" s="160"/>
      <c r="M78" s="159" t="s">
        <v>930</v>
      </c>
      <c r="N78" s="160"/>
      <c r="O78" s="160"/>
      <c r="P78" s="160"/>
      <c r="Q78" s="160"/>
      <c r="R78" s="283" t="s">
        <v>649</v>
      </c>
      <c r="S78" s="156" t="s">
        <v>19</v>
      </c>
      <c r="T78" s="157">
        <v>2000</v>
      </c>
      <c r="U78" s="239">
        <v>9.2920353982300884E-3</v>
      </c>
      <c r="V78" s="225"/>
      <c r="W78" s="288">
        <v>18.585000000000001</v>
      </c>
      <c r="X78" s="289"/>
      <c r="Y78" s="258" t="s">
        <v>538</v>
      </c>
      <c r="Z78" s="240" t="s">
        <v>125</v>
      </c>
      <c r="AA78" s="48">
        <v>18.585000000000001</v>
      </c>
    </row>
    <row r="79" spans="1:27" s="48" customFormat="1" ht="18" customHeight="1">
      <c r="A79" s="159">
        <v>0</v>
      </c>
      <c r="B79" s="160"/>
      <c r="C79" s="160"/>
      <c r="D79" s="161"/>
      <c r="E79" s="265" t="s">
        <v>760</v>
      </c>
      <c r="F79" s="160"/>
      <c r="G79" s="160"/>
      <c r="H79" s="160"/>
      <c r="I79" s="160"/>
      <c r="J79" s="160"/>
      <c r="K79" s="160"/>
      <c r="L79" s="160"/>
      <c r="M79" s="159" t="s">
        <v>930</v>
      </c>
      <c r="N79" s="160"/>
      <c r="O79" s="160"/>
      <c r="P79" s="160"/>
      <c r="Q79" s="160"/>
      <c r="R79" s="283" t="s">
        <v>651</v>
      </c>
      <c r="S79" s="156" t="s">
        <v>19</v>
      </c>
      <c r="T79" s="157">
        <v>20000</v>
      </c>
      <c r="U79" s="239">
        <v>1.821238938053097E-2</v>
      </c>
      <c r="V79" s="225"/>
      <c r="W79" s="288">
        <v>364.24799999999999</v>
      </c>
      <c r="X79" s="289"/>
      <c r="Y79" s="258" t="s">
        <v>538</v>
      </c>
      <c r="Z79" s="240" t="s">
        <v>125</v>
      </c>
      <c r="AA79" s="48">
        <v>364.24799999999999</v>
      </c>
    </row>
    <row r="80" spans="1:27" s="48" customFormat="1" ht="18" customHeight="1">
      <c r="A80" s="159">
        <v>0</v>
      </c>
      <c r="B80" s="160"/>
      <c r="C80" s="160"/>
      <c r="D80" s="161"/>
      <c r="E80" s="265" t="s">
        <v>344</v>
      </c>
      <c r="F80" s="160"/>
      <c r="G80" s="160"/>
      <c r="H80" s="160"/>
      <c r="I80" s="160"/>
      <c r="J80" s="160"/>
      <c r="K80" s="160"/>
      <c r="L80" s="160"/>
      <c r="M80" s="159" t="s">
        <v>925</v>
      </c>
      <c r="N80" s="160"/>
      <c r="O80" s="160"/>
      <c r="P80" s="160"/>
      <c r="Q80" s="160"/>
      <c r="R80" s="283" t="s">
        <v>104</v>
      </c>
      <c r="S80" s="156" t="s">
        <v>19</v>
      </c>
      <c r="T80" s="157">
        <v>900</v>
      </c>
      <c r="U80" s="239">
        <v>0.38747787610619472</v>
      </c>
      <c r="V80" s="225"/>
      <c r="W80" s="288">
        <v>348.73099999999999</v>
      </c>
      <c r="X80" s="289"/>
      <c r="Y80" s="258" t="s">
        <v>538</v>
      </c>
      <c r="Z80" s="240" t="s">
        <v>130</v>
      </c>
      <c r="AA80" s="48">
        <v>348.73099999999999</v>
      </c>
    </row>
    <row r="81" spans="1:27" s="48" customFormat="1" ht="18" customHeight="1">
      <c r="A81" s="159">
        <v>0</v>
      </c>
      <c r="B81" s="160"/>
      <c r="C81" s="160"/>
      <c r="D81" s="161"/>
      <c r="E81" s="265" t="s">
        <v>162</v>
      </c>
      <c r="F81" s="160"/>
      <c r="G81" s="160"/>
      <c r="H81" s="160"/>
      <c r="I81" s="160"/>
      <c r="J81" s="160"/>
      <c r="K81" s="160"/>
      <c r="L81" s="160"/>
      <c r="M81" s="159" t="s">
        <v>925</v>
      </c>
      <c r="N81" s="160"/>
      <c r="O81" s="160"/>
      <c r="P81" s="160"/>
      <c r="Q81" s="160"/>
      <c r="R81" s="283" t="s">
        <v>161</v>
      </c>
      <c r="S81" s="156" t="s">
        <v>19</v>
      </c>
      <c r="T81" s="157">
        <v>1878</v>
      </c>
      <c r="U81" s="239">
        <v>0.47761061946902661</v>
      </c>
      <c r="V81" s="225"/>
      <c r="W81" s="288">
        <v>896.95299999999997</v>
      </c>
      <c r="X81" s="289"/>
      <c r="Y81" s="258" t="s">
        <v>538</v>
      </c>
      <c r="Z81" s="240" t="s">
        <v>130</v>
      </c>
      <c r="AA81" s="48">
        <v>896.95299999999997</v>
      </c>
    </row>
    <row r="82" spans="1:27" s="48" customFormat="1" ht="18" customHeight="1">
      <c r="A82" s="159">
        <v>0</v>
      </c>
      <c r="B82" s="160"/>
      <c r="C82" s="160"/>
      <c r="D82" s="161"/>
      <c r="E82" s="265" t="s">
        <v>761</v>
      </c>
      <c r="F82" s="160"/>
      <c r="G82" s="160"/>
      <c r="H82" s="160"/>
      <c r="I82" s="160"/>
      <c r="J82" s="160"/>
      <c r="K82" s="160"/>
      <c r="L82" s="160"/>
      <c r="M82" s="159" t="s">
        <v>925</v>
      </c>
      <c r="N82" s="160"/>
      <c r="O82" s="160"/>
      <c r="P82" s="160"/>
      <c r="Q82" s="160"/>
      <c r="R82" s="283" t="s">
        <v>626</v>
      </c>
      <c r="S82" s="156" t="s">
        <v>19</v>
      </c>
      <c r="T82" s="157">
        <v>1600</v>
      </c>
      <c r="U82" s="239">
        <v>0.18305309734513273</v>
      </c>
      <c r="V82" s="225"/>
      <c r="W82" s="288">
        <v>292.88499999999999</v>
      </c>
      <c r="X82" s="289"/>
      <c r="Y82" s="258" t="s">
        <v>538</v>
      </c>
      <c r="Z82" s="240" t="s">
        <v>130</v>
      </c>
      <c r="AA82" s="48">
        <v>292.88499999999999</v>
      </c>
    </row>
    <row r="83" spans="1:27" s="48" customFormat="1" ht="18" customHeight="1">
      <c r="A83" s="159">
        <v>0</v>
      </c>
      <c r="B83" s="160"/>
      <c r="C83" s="160"/>
      <c r="D83" s="161"/>
      <c r="E83" s="265" t="s">
        <v>762</v>
      </c>
      <c r="F83" s="160"/>
      <c r="G83" s="160"/>
      <c r="H83" s="160"/>
      <c r="I83" s="160"/>
      <c r="J83" s="160"/>
      <c r="K83" s="160"/>
      <c r="L83" s="160"/>
      <c r="M83" s="159" t="s">
        <v>925</v>
      </c>
      <c r="N83" s="160"/>
      <c r="O83" s="160"/>
      <c r="P83" s="160"/>
      <c r="Q83" s="160"/>
      <c r="R83" s="283" t="s">
        <v>678</v>
      </c>
      <c r="S83" s="156" t="s">
        <v>19</v>
      </c>
      <c r="T83" s="157">
        <v>630</v>
      </c>
      <c r="U83" s="239">
        <v>0.87020353982300891</v>
      </c>
      <c r="V83" s="225"/>
      <c r="W83" s="288">
        <v>548.22899999999993</v>
      </c>
      <c r="X83" s="289"/>
      <c r="Y83" s="258" t="s">
        <v>538</v>
      </c>
      <c r="Z83" s="240" t="s">
        <v>197</v>
      </c>
      <c r="AA83" s="48">
        <v>548.22899999999993</v>
      </c>
    </row>
    <row r="84" spans="1:27" s="48" customFormat="1" ht="18" customHeight="1">
      <c r="A84" s="159">
        <v>0</v>
      </c>
      <c r="B84" s="160"/>
      <c r="C84" s="160"/>
      <c r="D84" s="161"/>
      <c r="E84" s="265" t="s">
        <v>763</v>
      </c>
      <c r="F84" s="160"/>
      <c r="G84" s="160"/>
      <c r="H84" s="160"/>
      <c r="I84" s="160"/>
      <c r="J84" s="160"/>
      <c r="K84" s="160"/>
      <c r="L84" s="160"/>
      <c r="M84" s="159" t="s">
        <v>925</v>
      </c>
      <c r="N84" s="160"/>
      <c r="O84" s="160"/>
      <c r="P84" s="160"/>
      <c r="Q84" s="160"/>
      <c r="R84" s="283" t="s">
        <v>640</v>
      </c>
      <c r="S84" s="156" t="s">
        <v>19</v>
      </c>
      <c r="T84" s="157">
        <v>3000</v>
      </c>
      <c r="U84" s="239">
        <v>0.23407079646017698</v>
      </c>
      <c r="V84" s="225"/>
      <c r="W84" s="288">
        <v>702.21299999999997</v>
      </c>
      <c r="X84" s="289"/>
      <c r="Y84" s="258" t="s">
        <v>538</v>
      </c>
      <c r="Z84" s="240" t="s">
        <v>130</v>
      </c>
      <c r="AA84" s="48">
        <v>702.21299999999997</v>
      </c>
    </row>
    <row r="85" spans="1:27" s="48" customFormat="1" ht="18" customHeight="1">
      <c r="A85" s="159">
        <v>0</v>
      </c>
      <c r="B85" s="160"/>
      <c r="C85" s="160"/>
      <c r="D85" s="161"/>
      <c r="E85" s="265" t="s">
        <v>48</v>
      </c>
      <c r="F85" s="160"/>
      <c r="G85" s="160"/>
      <c r="H85" s="160"/>
      <c r="I85" s="160"/>
      <c r="J85" s="160"/>
      <c r="K85" s="160"/>
      <c r="L85" s="160"/>
      <c r="M85" s="159" t="s">
        <v>925</v>
      </c>
      <c r="N85" s="160"/>
      <c r="O85" s="160"/>
      <c r="P85" s="160"/>
      <c r="Q85" s="160"/>
      <c r="R85" s="283" t="s">
        <v>74</v>
      </c>
      <c r="S85" s="156" t="s">
        <v>19</v>
      </c>
      <c r="T85" s="157">
        <v>750</v>
      </c>
      <c r="U85" s="239">
        <v>0.57053097345132753</v>
      </c>
      <c r="V85" s="225"/>
      <c r="W85" s="288">
        <v>427.899</v>
      </c>
      <c r="X85" s="289"/>
      <c r="Y85" s="258" t="s">
        <v>541</v>
      </c>
      <c r="Z85" s="240" t="s">
        <v>130</v>
      </c>
      <c r="AA85" s="48">
        <v>427.899</v>
      </c>
    </row>
    <row r="86" spans="1:27" s="48" customFormat="1" ht="18" customHeight="1">
      <c r="A86" s="159">
        <v>0</v>
      </c>
      <c r="B86" s="160"/>
      <c r="C86" s="160"/>
      <c r="D86" s="161"/>
      <c r="E86" s="265" t="s">
        <v>764</v>
      </c>
      <c r="F86" s="160"/>
      <c r="G86" s="160"/>
      <c r="H86" s="160"/>
      <c r="I86" s="160"/>
      <c r="J86" s="160"/>
      <c r="K86" s="160"/>
      <c r="L86" s="160"/>
      <c r="M86" s="159" t="s">
        <v>925</v>
      </c>
      <c r="N86" s="160"/>
      <c r="O86" s="160"/>
      <c r="P86" s="160"/>
      <c r="Q86" s="160"/>
      <c r="R86" s="283" t="s">
        <v>709</v>
      </c>
      <c r="S86" s="156" t="s">
        <v>19</v>
      </c>
      <c r="T86" s="157">
        <v>800</v>
      </c>
      <c r="U86" s="239">
        <v>0.36238938053097347</v>
      </c>
      <c r="V86" s="225"/>
      <c r="W86" s="288">
        <v>289.91199999999998</v>
      </c>
      <c r="X86" s="289"/>
      <c r="Y86" s="258" t="s">
        <v>538</v>
      </c>
      <c r="Z86" s="240" t="s">
        <v>197</v>
      </c>
      <c r="AA86" s="48">
        <v>289.91199999999998</v>
      </c>
    </row>
    <row r="87" spans="1:27" s="48" customFormat="1" ht="18" customHeight="1">
      <c r="A87" s="159">
        <v>0</v>
      </c>
      <c r="B87" s="160"/>
      <c r="C87" s="160"/>
      <c r="D87" s="161"/>
      <c r="E87" s="265" t="s">
        <v>765</v>
      </c>
      <c r="F87" s="160"/>
      <c r="G87" s="160"/>
      <c r="H87" s="160"/>
      <c r="I87" s="160"/>
      <c r="J87" s="160"/>
      <c r="K87" s="160"/>
      <c r="L87" s="160"/>
      <c r="M87" s="159" t="s">
        <v>925</v>
      </c>
      <c r="N87" s="160"/>
      <c r="O87" s="160"/>
      <c r="P87" s="160"/>
      <c r="Q87" s="160"/>
      <c r="R87" s="283" t="s">
        <v>676</v>
      </c>
      <c r="S87" s="156" t="s">
        <v>19</v>
      </c>
      <c r="T87" s="157">
        <v>800</v>
      </c>
      <c r="U87" s="239">
        <v>0.20442477876106194</v>
      </c>
      <c r="V87" s="225"/>
      <c r="W87" s="288">
        <v>163.54</v>
      </c>
      <c r="X87" s="289"/>
      <c r="Y87" s="258" t="s">
        <v>538</v>
      </c>
      <c r="Z87" s="240" t="s">
        <v>197</v>
      </c>
      <c r="AA87" s="48">
        <v>163.54</v>
      </c>
    </row>
    <row r="88" spans="1:27" s="48" customFormat="1" ht="18" customHeight="1">
      <c r="A88" s="159">
        <v>0</v>
      </c>
      <c r="B88" s="160"/>
      <c r="C88" s="160"/>
      <c r="D88" s="161"/>
      <c r="E88" s="265" t="s">
        <v>766</v>
      </c>
      <c r="F88" s="160"/>
      <c r="G88" s="160"/>
      <c r="H88" s="160"/>
      <c r="I88" s="160"/>
      <c r="J88" s="160"/>
      <c r="K88" s="160"/>
      <c r="L88" s="160"/>
      <c r="M88" s="159" t="s">
        <v>925</v>
      </c>
      <c r="N88" s="160"/>
      <c r="O88" s="160"/>
      <c r="P88" s="160"/>
      <c r="Q88" s="160"/>
      <c r="R88" s="283" t="s">
        <v>629</v>
      </c>
      <c r="S88" s="156" t="s">
        <v>19</v>
      </c>
      <c r="T88" s="157">
        <v>1800</v>
      </c>
      <c r="U88" s="239">
        <v>0.29446902654867257</v>
      </c>
      <c r="V88" s="225"/>
      <c r="W88" s="288">
        <v>530.04499999999996</v>
      </c>
      <c r="X88" s="289"/>
      <c r="Y88" s="258" t="s">
        <v>538</v>
      </c>
      <c r="Z88" s="240" t="s">
        <v>130</v>
      </c>
      <c r="AA88" s="48">
        <v>530.04499999999996</v>
      </c>
    </row>
    <row r="89" spans="1:27" s="48" customFormat="1" ht="18" customHeight="1">
      <c r="A89" s="159">
        <v>0</v>
      </c>
      <c r="B89" s="160"/>
      <c r="C89" s="160"/>
      <c r="D89" s="161"/>
      <c r="E89" s="265" t="s">
        <v>173</v>
      </c>
      <c r="F89" s="160"/>
      <c r="G89" s="160"/>
      <c r="H89" s="160"/>
      <c r="I89" s="160"/>
      <c r="J89" s="160"/>
      <c r="K89" s="160"/>
      <c r="L89" s="160"/>
      <c r="M89" s="159" t="s">
        <v>925</v>
      </c>
      <c r="N89" s="160"/>
      <c r="O89" s="160"/>
      <c r="P89" s="160"/>
      <c r="Q89" s="160"/>
      <c r="R89" s="283" t="s">
        <v>174</v>
      </c>
      <c r="S89" s="156" t="s">
        <v>19</v>
      </c>
      <c r="T89" s="157">
        <v>3500</v>
      </c>
      <c r="U89" s="239">
        <v>0.26110619469026547</v>
      </c>
      <c r="V89" s="225"/>
      <c r="W89" s="288">
        <v>913.87199999999996</v>
      </c>
      <c r="X89" s="289"/>
      <c r="Y89" s="258" t="s">
        <v>538</v>
      </c>
      <c r="Z89" s="240" t="s">
        <v>130</v>
      </c>
      <c r="AA89" s="48">
        <v>913.87199999999996</v>
      </c>
    </row>
    <row r="90" spans="1:27" s="48" customFormat="1" ht="18" customHeight="1">
      <c r="A90" s="159">
        <v>0</v>
      </c>
      <c r="B90" s="160"/>
      <c r="C90" s="160"/>
      <c r="D90" s="161"/>
      <c r="E90" s="265" t="s">
        <v>767</v>
      </c>
      <c r="F90" s="160"/>
      <c r="G90" s="160"/>
      <c r="H90" s="160"/>
      <c r="I90" s="160"/>
      <c r="J90" s="160"/>
      <c r="K90" s="160"/>
      <c r="L90" s="160"/>
      <c r="M90" s="159" t="s">
        <v>925</v>
      </c>
      <c r="N90" s="160"/>
      <c r="O90" s="160"/>
      <c r="P90" s="160"/>
      <c r="Q90" s="160"/>
      <c r="R90" s="283" t="s">
        <v>624</v>
      </c>
      <c r="S90" s="156" t="s">
        <v>19</v>
      </c>
      <c r="T90" s="157">
        <v>1500</v>
      </c>
      <c r="U90" s="239">
        <v>0.210929203539823</v>
      </c>
      <c r="V90" s="225"/>
      <c r="W90" s="288">
        <v>316.39399999999995</v>
      </c>
      <c r="X90" s="289"/>
      <c r="Y90" s="258" t="s">
        <v>538</v>
      </c>
      <c r="Z90" s="240" t="s">
        <v>130</v>
      </c>
      <c r="AA90" s="48">
        <v>316.39399999999995</v>
      </c>
    </row>
    <row r="91" spans="1:27" s="48" customFormat="1" ht="18" customHeight="1">
      <c r="A91" s="159">
        <v>0</v>
      </c>
      <c r="B91" s="160"/>
      <c r="C91" s="160"/>
      <c r="D91" s="161"/>
      <c r="E91" s="265" t="s">
        <v>176</v>
      </c>
      <c r="F91" s="160"/>
      <c r="G91" s="160"/>
      <c r="H91" s="160"/>
      <c r="I91" s="160"/>
      <c r="J91" s="160"/>
      <c r="K91" s="160"/>
      <c r="L91" s="160"/>
      <c r="M91" s="159" t="s">
        <v>925</v>
      </c>
      <c r="N91" s="160"/>
      <c r="O91" s="160"/>
      <c r="P91" s="160"/>
      <c r="Q91" s="160"/>
      <c r="R91" s="283" t="s">
        <v>175</v>
      </c>
      <c r="S91" s="156" t="s">
        <v>19</v>
      </c>
      <c r="T91" s="157">
        <v>2061</v>
      </c>
      <c r="U91" s="239">
        <v>0.71139823008849556</v>
      </c>
      <c r="V91" s="225"/>
      <c r="W91" s="288">
        <v>1466.192</v>
      </c>
      <c r="X91" s="289"/>
      <c r="Y91" s="258" t="s">
        <v>538</v>
      </c>
      <c r="Z91" s="240" t="s">
        <v>130</v>
      </c>
      <c r="AA91" s="48">
        <v>1466.192</v>
      </c>
    </row>
    <row r="92" spans="1:27" s="48" customFormat="1" ht="18" customHeight="1">
      <c r="A92" s="159">
        <v>0</v>
      </c>
      <c r="B92" s="160"/>
      <c r="C92" s="160"/>
      <c r="D92" s="161"/>
      <c r="E92" s="265" t="s">
        <v>768</v>
      </c>
      <c r="F92" s="160"/>
      <c r="G92" s="160"/>
      <c r="H92" s="160"/>
      <c r="I92" s="160"/>
      <c r="J92" s="160"/>
      <c r="K92" s="160"/>
      <c r="L92" s="160"/>
      <c r="M92" s="159" t="s">
        <v>925</v>
      </c>
      <c r="N92" s="160"/>
      <c r="O92" s="160"/>
      <c r="P92" s="160"/>
      <c r="Q92" s="160"/>
      <c r="R92" s="283" t="s">
        <v>697</v>
      </c>
      <c r="S92" s="156" t="s">
        <v>19</v>
      </c>
      <c r="T92" s="157">
        <v>2000</v>
      </c>
      <c r="U92" s="239">
        <v>0.37168141592920356</v>
      </c>
      <c r="V92" s="225"/>
      <c r="W92" s="288">
        <v>743.36299999999994</v>
      </c>
      <c r="X92" s="289"/>
      <c r="Y92" s="258" t="s">
        <v>538</v>
      </c>
      <c r="Z92" s="240" t="s">
        <v>130</v>
      </c>
      <c r="AA92" s="48">
        <v>743.36299999999994</v>
      </c>
    </row>
    <row r="93" spans="1:27" s="48" customFormat="1" ht="18" customHeight="1">
      <c r="A93" s="159">
        <v>0</v>
      </c>
      <c r="B93" s="160"/>
      <c r="C93" s="160"/>
      <c r="D93" s="161"/>
      <c r="E93" s="265" t="s">
        <v>769</v>
      </c>
      <c r="F93" s="160"/>
      <c r="G93" s="160"/>
      <c r="H93" s="160"/>
      <c r="I93" s="160"/>
      <c r="J93" s="160"/>
      <c r="K93" s="160"/>
      <c r="L93" s="160"/>
      <c r="M93" s="159" t="s">
        <v>925</v>
      </c>
      <c r="N93" s="160"/>
      <c r="O93" s="160"/>
      <c r="P93" s="160"/>
      <c r="Q93" s="160"/>
      <c r="R93" s="283" t="s">
        <v>605</v>
      </c>
      <c r="S93" s="156" t="s">
        <v>19</v>
      </c>
      <c r="T93" s="157">
        <v>2240</v>
      </c>
      <c r="U93" s="239">
        <v>0.18728318584070797</v>
      </c>
      <c r="V93" s="225"/>
      <c r="W93" s="288">
        <v>419.51499999999999</v>
      </c>
      <c r="X93" s="289"/>
      <c r="Y93" s="258" t="s">
        <v>538</v>
      </c>
      <c r="Z93" s="240" t="s">
        <v>130</v>
      </c>
      <c r="AA93" s="48">
        <v>419.51499999999999</v>
      </c>
    </row>
    <row r="94" spans="1:27" s="48" customFormat="1" ht="18" customHeight="1">
      <c r="A94" s="159">
        <v>0</v>
      </c>
      <c r="B94" s="160"/>
      <c r="C94" s="160"/>
      <c r="D94" s="161"/>
      <c r="E94" s="265" t="s">
        <v>53</v>
      </c>
      <c r="F94" s="160"/>
      <c r="G94" s="160"/>
      <c r="H94" s="160"/>
      <c r="I94" s="160"/>
      <c r="J94" s="160"/>
      <c r="K94" s="160"/>
      <c r="L94" s="160"/>
      <c r="M94" s="159" t="s">
        <v>925</v>
      </c>
      <c r="N94" s="160"/>
      <c r="O94" s="160"/>
      <c r="P94" s="160"/>
      <c r="Q94" s="160"/>
      <c r="R94" s="283" t="s">
        <v>120</v>
      </c>
      <c r="S94" s="156" t="s">
        <v>19</v>
      </c>
      <c r="T94" s="157">
        <v>200</v>
      </c>
      <c r="U94" s="239">
        <v>0.18584070796460178</v>
      </c>
      <c r="V94" s="225"/>
      <c r="W94" s="288">
        <v>37.168999999999997</v>
      </c>
      <c r="X94" s="289"/>
      <c r="Y94" s="258" t="s">
        <v>538</v>
      </c>
      <c r="Z94" s="240" t="s">
        <v>125</v>
      </c>
      <c r="AA94" s="48">
        <v>37.168999999999997</v>
      </c>
    </row>
    <row r="95" spans="1:27" s="48" customFormat="1" ht="18" customHeight="1">
      <c r="A95" s="159">
        <v>0</v>
      </c>
      <c r="B95" s="160"/>
      <c r="C95" s="160"/>
      <c r="D95" s="161"/>
      <c r="E95" s="265" t="s">
        <v>770</v>
      </c>
      <c r="F95" s="160"/>
      <c r="G95" s="160"/>
      <c r="H95" s="160"/>
      <c r="I95" s="160"/>
      <c r="J95" s="160"/>
      <c r="K95" s="160"/>
      <c r="L95" s="160"/>
      <c r="M95" s="159" t="s">
        <v>925</v>
      </c>
      <c r="N95" s="160"/>
      <c r="O95" s="160"/>
      <c r="P95" s="160"/>
      <c r="Q95" s="160"/>
      <c r="R95" s="283" t="s">
        <v>679</v>
      </c>
      <c r="S95" s="156" t="s">
        <v>19</v>
      </c>
      <c r="T95" s="157">
        <v>720</v>
      </c>
      <c r="U95" s="239">
        <v>9.7566371681415923E-2</v>
      </c>
      <c r="V95" s="225"/>
      <c r="W95" s="288">
        <v>70.248000000000005</v>
      </c>
      <c r="X95" s="289"/>
      <c r="Y95" s="258" t="s">
        <v>538</v>
      </c>
      <c r="Z95" s="240" t="s">
        <v>125</v>
      </c>
      <c r="AA95" s="48">
        <v>70.248000000000005</v>
      </c>
    </row>
    <row r="96" spans="1:27" s="48" customFormat="1" ht="18" customHeight="1">
      <c r="A96" s="159">
        <v>0</v>
      </c>
      <c r="B96" s="160"/>
      <c r="C96" s="160"/>
      <c r="D96" s="161"/>
      <c r="E96" s="265" t="s">
        <v>466</v>
      </c>
      <c r="F96" s="160"/>
      <c r="G96" s="160"/>
      <c r="H96" s="160"/>
      <c r="I96" s="160"/>
      <c r="J96" s="160"/>
      <c r="K96" s="160"/>
      <c r="L96" s="160"/>
      <c r="M96" s="159" t="s">
        <v>925</v>
      </c>
      <c r="N96" s="160"/>
      <c r="O96" s="160"/>
      <c r="P96" s="160"/>
      <c r="Q96" s="160"/>
      <c r="R96" s="283" t="s">
        <v>390</v>
      </c>
      <c r="S96" s="156" t="s">
        <v>19</v>
      </c>
      <c r="T96" s="157">
        <v>4000</v>
      </c>
      <c r="U96" s="239">
        <v>0.20256637168141595</v>
      </c>
      <c r="V96" s="225"/>
      <c r="W96" s="288">
        <v>810.26599999999996</v>
      </c>
      <c r="X96" s="289"/>
      <c r="Y96" s="258" t="s">
        <v>538</v>
      </c>
      <c r="Z96" s="240" t="s">
        <v>130</v>
      </c>
      <c r="AA96" s="48">
        <v>810.26599999999996</v>
      </c>
    </row>
    <row r="97" spans="1:27" s="48" customFormat="1" ht="18" customHeight="1">
      <c r="A97" s="159">
        <v>0</v>
      </c>
      <c r="B97" s="160"/>
      <c r="C97" s="160"/>
      <c r="D97" s="161"/>
      <c r="E97" s="265" t="s">
        <v>439</v>
      </c>
      <c r="F97" s="160"/>
      <c r="G97" s="160"/>
      <c r="H97" s="160"/>
      <c r="I97" s="160"/>
      <c r="J97" s="160"/>
      <c r="K97" s="160"/>
      <c r="L97" s="160"/>
      <c r="M97" s="159" t="s">
        <v>925</v>
      </c>
      <c r="N97" s="160"/>
      <c r="O97" s="160"/>
      <c r="P97" s="160"/>
      <c r="Q97" s="160"/>
      <c r="R97" s="283" t="s">
        <v>363</v>
      </c>
      <c r="S97" s="156" t="s">
        <v>19</v>
      </c>
      <c r="T97" s="157">
        <v>1000</v>
      </c>
      <c r="U97" s="239">
        <v>6.7557522123893807E-2</v>
      </c>
      <c r="V97" s="225"/>
      <c r="W97" s="288">
        <v>67.558000000000007</v>
      </c>
      <c r="X97" s="289"/>
      <c r="Y97" s="258" t="s">
        <v>539</v>
      </c>
      <c r="Z97" s="240" t="s">
        <v>130</v>
      </c>
      <c r="AA97" s="48">
        <v>67.558000000000007</v>
      </c>
    </row>
    <row r="98" spans="1:27" s="48" customFormat="1" ht="18" customHeight="1">
      <c r="A98" s="159">
        <v>0</v>
      </c>
      <c r="B98" s="160"/>
      <c r="C98" s="160"/>
      <c r="D98" s="161"/>
      <c r="E98" s="265" t="s">
        <v>446</v>
      </c>
      <c r="F98" s="160"/>
      <c r="G98" s="160"/>
      <c r="H98" s="160"/>
      <c r="I98" s="160"/>
      <c r="J98" s="160"/>
      <c r="K98" s="160"/>
      <c r="L98" s="160"/>
      <c r="M98" s="159" t="s">
        <v>926</v>
      </c>
      <c r="N98" s="160"/>
      <c r="O98" s="160"/>
      <c r="P98" s="160"/>
      <c r="Q98" s="160"/>
      <c r="R98" s="283" t="s">
        <v>370</v>
      </c>
      <c r="S98" s="156" t="s">
        <v>19</v>
      </c>
      <c r="T98" s="157">
        <v>2750</v>
      </c>
      <c r="U98" s="239">
        <v>6.7743362831858417E-2</v>
      </c>
      <c r="V98" s="225"/>
      <c r="W98" s="288">
        <v>186.29500000000002</v>
      </c>
      <c r="X98" s="289"/>
      <c r="Y98" s="258" t="s">
        <v>538</v>
      </c>
      <c r="Z98" s="240" t="s">
        <v>130</v>
      </c>
      <c r="AA98" s="48">
        <v>186.29500000000002</v>
      </c>
    </row>
    <row r="99" spans="1:27" s="48" customFormat="1" ht="18" customHeight="1">
      <c r="A99" s="159">
        <v>0</v>
      </c>
      <c r="B99" s="160"/>
      <c r="C99" s="160"/>
      <c r="D99" s="161"/>
      <c r="E99" s="265" t="s">
        <v>43</v>
      </c>
      <c r="F99" s="160"/>
      <c r="G99" s="160"/>
      <c r="H99" s="160"/>
      <c r="I99" s="160"/>
      <c r="J99" s="160"/>
      <c r="K99" s="160"/>
      <c r="L99" s="160"/>
      <c r="M99" s="159" t="s">
        <v>925</v>
      </c>
      <c r="N99" s="160"/>
      <c r="O99" s="160"/>
      <c r="P99" s="160"/>
      <c r="Q99" s="160"/>
      <c r="R99" s="283" t="s">
        <v>105</v>
      </c>
      <c r="S99" s="156" t="s">
        <v>19</v>
      </c>
      <c r="T99" s="157">
        <v>2400</v>
      </c>
      <c r="U99" s="239">
        <v>0.15238938053097345</v>
      </c>
      <c r="V99" s="225"/>
      <c r="W99" s="288">
        <v>365.73499999999996</v>
      </c>
      <c r="X99" s="289"/>
      <c r="Y99" s="258" t="s">
        <v>538</v>
      </c>
      <c r="Z99" s="240" t="s">
        <v>130</v>
      </c>
      <c r="AA99" s="48">
        <v>365.73499999999996</v>
      </c>
    </row>
    <row r="100" spans="1:27" s="48" customFormat="1" ht="18" customHeight="1">
      <c r="A100" s="159">
        <v>0</v>
      </c>
      <c r="B100" s="160"/>
      <c r="C100" s="160"/>
      <c r="D100" s="161"/>
      <c r="E100" s="265" t="s">
        <v>771</v>
      </c>
      <c r="F100" s="160"/>
      <c r="G100" s="160"/>
      <c r="H100" s="160"/>
      <c r="I100" s="160"/>
      <c r="J100" s="160"/>
      <c r="K100" s="160"/>
      <c r="L100" s="160"/>
      <c r="M100" s="159" t="s">
        <v>925</v>
      </c>
      <c r="N100" s="160"/>
      <c r="O100" s="160"/>
      <c r="P100" s="160"/>
      <c r="Q100" s="160"/>
      <c r="R100" s="283" t="s">
        <v>602</v>
      </c>
      <c r="S100" s="156" t="s">
        <v>19</v>
      </c>
      <c r="T100" s="157">
        <v>2300</v>
      </c>
      <c r="U100" s="239">
        <v>9.719469026548673E-2</v>
      </c>
      <c r="V100" s="225"/>
      <c r="W100" s="288">
        <v>223.548</v>
      </c>
      <c r="X100" s="289"/>
      <c r="Y100" s="258" t="s">
        <v>538</v>
      </c>
      <c r="Z100" s="240" t="s">
        <v>130</v>
      </c>
      <c r="AA100" s="48">
        <v>223.548</v>
      </c>
    </row>
    <row r="101" spans="1:27" s="48" customFormat="1" ht="18" customHeight="1">
      <c r="A101" s="159">
        <v>0</v>
      </c>
      <c r="B101" s="160"/>
      <c r="C101" s="160"/>
      <c r="D101" s="161"/>
      <c r="E101" s="265" t="s">
        <v>453</v>
      </c>
      <c r="F101" s="160"/>
      <c r="G101" s="160"/>
      <c r="H101" s="160"/>
      <c r="I101" s="160"/>
      <c r="J101" s="160"/>
      <c r="K101" s="160"/>
      <c r="L101" s="160"/>
      <c r="M101" s="159" t="s">
        <v>926</v>
      </c>
      <c r="N101" s="160"/>
      <c r="O101" s="160"/>
      <c r="P101" s="160"/>
      <c r="Q101" s="160"/>
      <c r="R101" s="283" t="s">
        <v>377</v>
      </c>
      <c r="S101" s="156" t="s">
        <v>19</v>
      </c>
      <c r="T101" s="157">
        <v>3500</v>
      </c>
      <c r="U101" s="239">
        <v>6.0398230088495576E-2</v>
      </c>
      <c r="V101" s="225"/>
      <c r="W101" s="288">
        <v>211.39400000000001</v>
      </c>
      <c r="X101" s="289"/>
      <c r="Y101" s="258" t="s">
        <v>538</v>
      </c>
      <c r="Z101" s="240" t="s">
        <v>130</v>
      </c>
      <c r="AA101" s="48">
        <v>211.39400000000001</v>
      </c>
    </row>
    <row r="102" spans="1:27" s="48" customFormat="1" ht="18" customHeight="1">
      <c r="A102" s="159">
        <v>0</v>
      </c>
      <c r="B102" s="160"/>
      <c r="C102" s="160"/>
      <c r="D102" s="161"/>
      <c r="E102" s="265" t="s">
        <v>276</v>
      </c>
      <c r="F102" s="160"/>
      <c r="G102" s="160"/>
      <c r="H102" s="160"/>
      <c r="I102" s="160"/>
      <c r="J102" s="160"/>
      <c r="K102" s="160"/>
      <c r="L102" s="160"/>
      <c r="M102" s="159" t="s">
        <v>931</v>
      </c>
      <c r="N102" s="160"/>
      <c r="O102" s="160"/>
      <c r="P102" s="160"/>
      <c r="Q102" s="160"/>
      <c r="R102" s="283" t="s">
        <v>211</v>
      </c>
      <c r="S102" s="156" t="s">
        <v>19</v>
      </c>
      <c r="T102" s="157">
        <v>28000</v>
      </c>
      <c r="U102" s="239">
        <v>4.8318584070796457E-3</v>
      </c>
      <c r="V102" s="225"/>
      <c r="W102" s="288">
        <v>135.29300000000001</v>
      </c>
      <c r="X102" s="289"/>
      <c r="Y102" s="258" t="s">
        <v>541</v>
      </c>
      <c r="Z102" s="240" t="s">
        <v>129</v>
      </c>
      <c r="AA102" s="48">
        <v>135.29300000000001</v>
      </c>
    </row>
    <row r="103" spans="1:27" s="48" customFormat="1" ht="18" customHeight="1">
      <c r="A103" s="159">
        <v>0</v>
      </c>
      <c r="B103" s="160"/>
      <c r="C103" s="160"/>
      <c r="D103" s="161"/>
      <c r="E103" s="265" t="s">
        <v>772</v>
      </c>
      <c r="F103" s="160"/>
      <c r="G103" s="160"/>
      <c r="H103" s="160"/>
      <c r="I103" s="160"/>
      <c r="J103" s="160"/>
      <c r="K103" s="160"/>
      <c r="L103" s="160"/>
      <c r="M103" s="159" t="s">
        <v>931</v>
      </c>
      <c r="N103" s="160"/>
      <c r="O103" s="160"/>
      <c r="P103" s="160"/>
      <c r="Q103" s="160"/>
      <c r="R103" s="283" t="s">
        <v>578</v>
      </c>
      <c r="S103" s="156" t="s">
        <v>19</v>
      </c>
      <c r="T103" s="157">
        <v>6000</v>
      </c>
      <c r="U103" s="239">
        <v>4.5442477876106196E-2</v>
      </c>
      <c r="V103" s="225"/>
      <c r="W103" s="288">
        <v>272.65499999999997</v>
      </c>
      <c r="X103" s="289"/>
      <c r="Y103" s="258" t="s">
        <v>538</v>
      </c>
      <c r="Z103" s="240" t="s">
        <v>328</v>
      </c>
      <c r="AA103" s="48">
        <v>272.65499999999997</v>
      </c>
    </row>
    <row r="104" spans="1:27" s="48" customFormat="1" ht="18" customHeight="1">
      <c r="A104" s="159">
        <v>0</v>
      </c>
      <c r="B104" s="160"/>
      <c r="C104" s="160"/>
      <c r="D104" s="161"/>
      <c r="E104" s="265" t="s">
        <v>773</v>
      </c>
      <c r="F104" s="160"/>
      <c r="G104" s="160"/>
      <c r="H104" s="160"/>
      <c r="I104" s="160"/>
      <c r="J104" s="160"/>
      <c r="K104" s="160"/>
      <c r="L104" s="160"/>
      <c r="M104" s="159" t="s">
        <v>931</v>
      </c>
      <c r="N104" s="160"/>
      <c r="O104" s="160"/>
      <c r="P104" s="160"/>
      <c r="Q104" s="160"/>
      <c r="R104" s="283" t="s">
        <v>556</v>
      </c>
      <c r="S104" s="156" t="s">
        <v>19</v>
      </c>
      <c r="T104" s="157">
        <v>28000</v>
      </c>
      <c r="U104" s="239">
        <v>7.8053097345132747E-3</v>
      </c>
      <c r="V104" s="225"/>
      <c r="W104" s="288">
        <v>218.54900000000001</v>
      </c>
      <c r="X104" s="289"/>
      <c r="Y104" s="258" t="s">
        <v>538</v>
      </c>
      <c r="Z104" s="240" t="s">
        <v>130</v>
      </c>
      <c r="AA104" s="48">
        <v>218.54900000000001</v>
      </c>
    </row>
    <row r="105" spans="1:27" s="48" customFormat="1" ht="18" customHeight="1">
      <c r="A105" s="159">
        <v>0</v>
      </c>
      <c r="B105" s="160"/>
      <c r="C105" s="160"/>
      <c r="D105" s="161"/>
      <c r="E105" s="265" t="s">
        <v>268</v>
      </c>
      <c r="F105" s="160"/>
      <c r="G105" s="160"/>
      <c r="H105" s="160"/>
      <c r="I105" s="160"/>
      <c r="J105" s="160"/>
      <c r="K105" s="160"/>
      <c r="L105" s="160"/>
      <c r="M105" s="159" t="s">
        <v>931</v>
      </c>
      <c r="N105" s="160"/>
      <c r="O105" s="160"/>
      <c r="P105" s="160"/>
      <c r="Q105" s="160"/>
      <c r="R105" s="283" t="s">
        <v>203</v>
      </c>
      <c r="S105" s="156" t="s">
        <v>19</v>
      </c>
      <c r="T105" s="157">
        <v>7000</v>
      </c>
      <c r="U105" s="239">
        <v>5.9840707964601773E-2</v>
      </c>
      <c r="V105" s="225"/>
      <c r="W105" s="288">
        <v>418.88499999999999</v>
      </c>
      <c r="X105" s="289"/>
      <c r="Y105" s="258" t="s">
        <v>538</v>
      </c>
      <c r="Z105" s="240" t="s">
        <v>129</v>
      </c>
      <c r="AA105" s="48">
        <v>418.88499999999999</v>
      </c>
    </row>
    <row r="106" spans="1:27" s="48" customFormat="1" ht="18" customHeight="1">
      <c r="A106" s="159">
        <v>0</v>
      </c>
      <c r="B106" s="160"/>
      <c r="C106" s="160"/>
      <c r="D106" s="161"/>
      <c r="E106" s="265" t="s">
        <v>774</v>
      </c>
      <c r="F106" s="160"/>
      <c r="G106" s="160"/>
      <c r="H106" s="160"/>
      <c r="I106" s="160"/>
      <c r="J106" s="160"/>
      <c r="K106" s="160"/>
      <c r="L106" s="160"/>
      <c r="M106" s="159" t="s">
        <v>931</v>
      </c>
      <c r="N106" s="160"/>
      <c r="O106" s="160"/>
      <c r="P106" s="160"/>
      <c r="Q106" s="160"/>
      <c r="R106" s="283" t="s">
        <v>674</v>
      </c>
      <c r="S106" s="156" t="s">
        <v>19</v>
      </c>
      <c r="T106" s="157">
        <v>3500</v>
      </c>
      <c r="U106" s="239">
        <v>9.2920353982300891E-2</v>
      </c>
      <c r="V106" s="225"/>
      <c r="W106" s="288">
        <v>325.22199999999998</v>
      </c>
      <c r="X106" s="289"/>
      <c r="Y106" s="258" t="s">
        <v>538</v>
      </c>
      <c r="Z106" s="240" t="s">
        <v>130</v>
      </c>
      <c r="AA106" s="48">
        <v>325.22199999999998</v>
      </c>
    </row>
    <row r="107" spans="1:27" s="48" customFormat="1" ht="18" customHeight="1">
      <c r="A107" s="159">
        <v>0</v>
      </c>
      <c r="B107" s="160"/>
      <c r="C107" s="160"/>
      <c r="D107" s="161"/>
      <c r="E107" s="265" t="s">
        <v>775</v>
      </c>
      <c r="F107" s="160"/>
      <c r="G107" s="160"/>
      <c r="H107" s="160"/>
      <c r="I107" s="160"/>
      <c r="J107" s="160"/>
      <c r="K107" s="160"/>
      <c r="L107" s="160"/>
      <c r="M107" s="159" t="s">
        <v>930</v>
      </c>
      <c r="N107" s="160"/>
      <c r="O107" s="160"/>
      <c r="P107" s="160"/>
      <c r="Q107" s="160"/>
      <c r="R107" s="283" t="s">
        <v>659</v>
      </c>
      <c r="S107" s="156" t="s">
        <v>19</v>
      </c>
      <c r="T107" s="157">
        <v>3000</v>
      </c>
      <c r="U107" s="239">
        <v>3.753982300884956E-2</v>
      </c>
      <c r="V107" s="225"/>
      <c r="W107" s="288">
        <v>112.62</v>
      </c>
      <c r="X107" s="289"/>
      <c r="Y107" s="258" t="s">
        <v>538</v>
      </c>
      <c r="Z107" s="240" t="s">
        <v>524</v>
      </c>
      <c r="AA107" s="48">
        <v>112.62</v>
      </c>
    </row>
    <row r="108" spans="1:27" s="48" customFormat="1" ht="18" customHeight="1">
      <c r="A108" s="159">
        <v>0</v>
      </c>
      <c r="B108" s="160"/>
      <c r="C108" s="160"/>
      <c r="D108" s="161"/>
      <c r="E108" s="265" t="s">
        <v>909</v>
      </c>
      <c r="F108" s="160"/>
      <c r="G108" s="160"/>
      <c r="H108" s="160"/>
      <c r="I108" s="160"/>
      <c r="J108" s="160"/>
      <c r="K108" s="160"/>
      <c r="L108" s="160"/>
      <c r="M108" s="159" t="s">
        <v>930</v>
      </c>
      <c r="N108" s="160"/>
      <c r="O108" s="160"/>
      <c r="P108" s="160"/>
      <c r="Q108" s="160"/>
      <c r="R108" s="283" t="s">
        <v>588</v>
      </c>
      <c r="S108" s="156" t="s">
        <v>19</v>
      </c>
      <c r="T108" s="157">
        <v>18000</v>
      </c>
      <c r="U108" s="239">
        <v>2.1469026548672568E-2</v>
      </c>
      <c r="V108" s="225"/>
      <c r="W108" s="288">
        <v>386.44299999999998</v>
      </c>
      <c r="X108" s="289"/>
      <c r="Y108" s="258" t="s">
        <v>538</v>
      </c>
      <c r="Z108" s="240" t="s">
        <v>130</v>
      </c>
      <c r="AA108" s="48">
        <v>386.44299999999998</v>
      </c>
    </row>
    <row r="109" spans="1:27" s="48" customFormat="1" ht="18" customHeight="1">
      <c r="A109" s="159">
        <v>0</v>
      </c>
      <c r="B109" s="160"/>
      <c r="C109" s="160"/>
      <c r="D109" s="161"/>
      <c r="E109" s="265" t="s">
        <v>473</v>
      </c>
      <c r="F109" s="160"/>
      <c r="G109" s="160"/>
      <c r="H109" s="160"/>
      <c r="I109" s="160"/>
      <c r="J109" s="160"/>
      <c r="K109" s="160"/>
      <c r="L109" s="160"/>
      <c r="M109" s="159" t="s">
        <v>931</v>
      </c>
      <c r="N109" s="160"/>
      <c r="O109" s="160"/>
      <c r="P109" s="160"/>
      <c r="Q109" s="160"/>
      <c r="R109" s="283" t="s">
        <v>396</v>
      </c>
      <c r="S109" s="156" t="s">
        <v>19</v>
      </c>
      <c r="T109" s="157">
        <v>15000</v>
      </c>
      <c r="U109" s="239">
        <v>1.6265486725663719E-2</v>
      </c>
      <c r="V109" s="225"/>
      <c r="W109" s="288">
        <v>243.983</v>
      </c>
      <c r="X109" s="289"/>
      <c r="Y109" s="258" t="s">
        <v>538</v>
      </c>
      <c r="Z109" s="240" t="s">
        <v>130</v>
      </c>
      <c r="AA109" s="48">
        <v>243.983</v>
      </c>
    </row>
    <row r="110" spans="1:27" s="48" customFormat="1" ht="18" customHeight="1">
      <c r="A110" s="159">
        <v>0</v>
      </c>
      <c r="B110" s="160"/>
      <c r="C110" s="160"/>
      <c r="D110" s="161"/>
      <c r="E110" s="265" t="s">
        <v>266</v>
      </c>
      <c r="F110" s="160"/>
      <c r="G110" s="160"/>
      <c r="H110" s="160"/>
      <c r="I110" s="160"/>
      <c r="J110" s="160"/>
      <c r="K110" s="160"/>
      <c r="L110" s="160"/>
      <c r="M110" s="159" t="s">
        <v>931</v>
      </c>
      <c r="N110" s="160"/>
      <c r="O110" s="160"/>
      <c r="P110" s="160"/>
      <c r="Q110" s="160"/>
      <c r="R110" s="283" t="s">
        <v>201</v>
      </c>
      <c r="S110" s="156" t="s">
        <v>19</v>
      </c>
      <c r="T110" s="157">
        <v>4000</v>
      </c>
      <c r="U110" s="239">
        <v>9.8495575221238932E-2</v>
      </c>
      <c r="V110" s="225"/>
      <c r="W110" s="288">
        <v>393.983</v>
      </c>
      <c r="X110" s="289"/>
      <c r="Y110" s="258" t="s">
        <v>540</v>
      </c>
      <c r="Z110" s="240" t="s">
        <v>130</v>
      </c>
      <c r="AA110" s="48">
        <v>393.983</v>
      </c>
    </row>
    <row r="111" spans="1:27" s="48" customFormat="1" ht="18" customHeight="1">
      <c r="A111" s="159">
        <v>0</v>
      </c>
      <c r="B111" s="160"/>
      <c r="C111" s="160"/>
      <c r="D111" s="161"/>
      <c r="E111" s="265" t="s">
        <v>289</v>
      </c>
      <c r="F111" s="160"/>
      <c r="G111" s="160"/>
      <c r="H111" s="160"/>
      <c r="I111" s="160"/>
      <c r="J111" s="160"/>
      <c r="K111" s="160"/>
      <c r="L111" s="160"/>
      <c r="M111" s="159" t="s">
        <v>931</v>
      </c>
      <c r="N111" s="160"/>
      <c r="O111" s="160"/>
      <c r="P111" s="160"/>
      <c r="Q111" s="160"/>
      <c r="R111" s="283" t="s">
        <v>224</v>
      </c>
      <c r="S111" s="156" t="s">
        <v>19</v>
      </c>
      <c r="T111" s="157">
        <v>10000</v>
      </c>
      <c r="U111" s="239">
        <v>5.3619469026548669E-2</v>
      </c>
      <c r="V111" s="225"/>
      <c r="W111" s="288">
        <v>536.19499999999994</v>
      </c>
      <c r="X111" s="289"/>
      <c r="Y111" s="258" t="s">
        <v>538</v>
      </c>
      <c r="Z111" s="240" t="s">
        <v>329</v>
      </c>
      <c r="AA111" s="48">
        <v>536.19499999999994</v>
      </c>
    </row>
    <row r="112" spans="1:27" s="48" customFormat="1" ht="18" customHeight="1">
      <c r="A112" s="159">
        <v>0</v>
      </c>
      <c r="B112" s="160"/>
      <c r="C112" s="160"/>
      <c r="D112" s="161"/>
      <c r="E112" s="265" t="s">
        <v>267</v>
      </c>
      <c r="F112" s="160"/>
      <c r="G112" s="160"/>
      <c r="H112" s="160"/>
      <c r="I112" s="160"/>
      <c r="J112" s="160"/>
      <c r="K112" s="160"/>
      <c r="L112" s="160"/>
      <c r="M112" s="159" t="s">
        <v>931</v>
      </c>
      <c r="N112" s="160"/>
      <c r="O112" s="160"/>
      <c r="P112" s="160"/>
      <c r="Q112" s="160"/>
      <c r="R112" s="283" t="s">
        <v>202</v>
      </c>
      <c r="S112" s="156" t="s">
        <v>19</v>
      </c>
      <c r="T112" s="157">
        <v>6500</v>
      </c>
      <c r="U112" s="239">
        <v>3.3451327433628317E-2</v>
      </c>
      <c r="V112" s="225"/>
      <c r="W112" s="288">
        <v>217.434</v>
      </c>
      <c r="X112" s="289"/>
      <c r="Y112" s="258" t="s">
        <v>538</v>
      </c>
      <c r="Z112" s="240" t="s">
        <v>130</v>
      </c>
      <c r="AA112" s="48">
        <v>217.434</v>
      </c>
    </row>
    <row r="113" spans="1:27" s="48" customFormat="1" ht="18" customHeight="1">
      <c r="A113" s="159">
        <v>0</v>
      </c>
      <c r="B113" s="160"/>
      <c r="C113" s="160"/>
      <c r="D113" s="161"/>
      <c r="E113" s="265" t="s">
        <v>286</v>
      </c>
      <c r="F113" s="160"/>
      <c r="G113" s="160"/>
      <c r="H113" s="160"/>
      <c r="I113" s="160"/>
      <c r="J113" s="160"/>
      <c r="K113" s="160"/>
      <c r="L113" s="160"/>
      <c r="M113" s="159" t="s">
        <v>931</v>
      </c>
      <c r="N113" s="160"/>
      <c r="O113" s="160"/>
      <c r="P113" s="160"/>
      <c r="Q113" s="160"/>
      <c r="R113" s="283" t="s">
        <v>221</v>
      </c>
      <c r="S113" s="156" t="s">
        <v>19</v>
      </c>
      <c r="T113" s="157">
        <v>35000</v>
      </c>
      <c r="U113" s="239">
        <v>3.1876106194690265E-2</v>
      </c>
      <c r="V113" s="225"/>
      <c r="W113" s="288">
        <v>1115.664</v>
      </c>
      <c r="X113" s="289"/>
      <c r="Y113" s="258" t="s">
        <v>540</v>
      </c>
      <c r="Z113" s="240" t="s">
        <v>129</v>
      </c>
      <c r="AA113" s="48">
        <v>1115.664</v>
      </c>
    </row>
    <row r="114" spans="1:27" s="48" customFormat="1" ht="18" customHeight="1">
      <c r="A114" s="159">
        <v>0</v>
      </c>
      <c r="B114" s="160"/>
      <c r="C114" s="160"/>
      <c r="D114" s="161"/>
      <c r="E114" s="265" t="s">
        <v>263</v>
      </c>
      <c r="F114" s="160"/>
      <c r="G114" s="160"/>
      <c r="H114" s="160"/>
      <c r="I114" s="160"/>
      <c r="J114" s="160"/>
      <c r="K114" s="160"/>
      <c r="L114" s="160"/>
      <c r="M114" s="159" t="s">
        <v>931</v>
      </c>
      <c r="N114" s="160"/>
      <c r="O114" s="160"/>
      <c r="P114" s="160"/>
      <c r="Q114" s="160"/>
      <c r="R114" s="283" t="s">
        <v>198</v>
      </c>
      <c r="S114" s="156" t="s">
        <v>19</v>
      </c>
      <c r="T114" s="157">
        <v>23000</v>
      </c>
      <c r="U114" s="239">
        <v>4.6460176991150445E-2</v>
      </c>
      <c r="V114" s="225"/>
      <c r="W114" s="288">
        <v>1068.585</v>
      </c>
      <c r="X114" s="289"/>
      <c r="Y114" s="258" t="s">
        <v>549</v>
      </c>
      <c r="Z114" s="240" t="s">
        <v>129</v>
      </c>
      <c r="AA114" s="48">
        <v>1068.585</v>
      </c>
    </row>
    <row r="115" spans="1:27" s="48" customFormat="1" ht="18" customHeight="1">
      <c r="A115" s="159">
        <v>0</v>
      </c>
      <c r="B115" s="160"/>
      <c r="C115" s="160"/>
      <c r="D115" s="161"/>
      <c r="E115" s="265" t="s">
        <v>269</v>
      </c>
      <c r="F115" s="160"/>
      <c r="G115" s="160"/>
      <c r="H115" s="160"/>
      <c r="I115" s="160"/>
      <c r="J115" s="160"/>
      <c r="K115" s="160"/>
      <c r="L115" s="160"/>
      <c r="M115" s="159" t="s">
        <v>931</v>
      </c>
      <c r="N115" s="160"/>
      <c r="O115" s="160"/>
      <c r="P115" s="160"/>
      <c r="Q115" s="160"/>
      <c r="R115" s="283" t="s">
        <v>204</v>
      </c>
      <c r="S115" s="156" t="s">
        <v>19</v>
      </c>
      <c r="T115" s="157">
        <v>8000</v>
      </c>
      <c r="U115" s="239">
        <v>2.9734513274336283E-2</v>
      </c>
      <c r="V115" s="225"/>
      <c r="W115" s="288">
        <v>237.87700000000001</v>
      </c>
      <c r="X115" s="289"/>
      <c r="Y115" s="258" t="s">
        <v>538</v>
      </c>
      <c r="Z115" s="240" t="s">
        <v>129</v>
      </c>
      <c r="AA115" s="48">
        <v>237.87700000000001</v>
      </c>
    </row>
    <row r="116" spans="1:27" s="48" customFormat="1" ht="18" customHeight="1">
      <c r="A116" s="159">
        <v>0</v>
      </c>
      <c r="B116" s="160"/>
      <c r="C116" s="160"/>
      <c r="D116" s="161"/>
      <c r="E116" s="265" t="s">
        <v>470</v>
      </c>
      <c r="F116" s="160"/>
      <c r="G116" s="160"/>
      <c r="H116" s="160"/>
      <c r="I116" s="160"/>
      <c r="J116" s="160"/>
      <c r="K116" s="160"/>
      <c r="L116" s="160"/>
      <c r="M116" s="159" t="s">
        <v>931</v>
      </c>
      <c r="N116" s="160"/>
      <c r="O116" s="160"/>
      <c r="P116" s="160"/>
      <c r="Q116" s="160"/>
      <c r="R116" s="283" t="s">
        <v>393</v>
      </c>
      <c r="S116" s="156" t="s">
        <v>19</v>
      </c>
      <c r="T116" s="157">
        <v>5400</v>
      </c>
      <c r="U116" s="239">
        <v>2.9734513274336283E-2</v>
      </c>
      <c r="V116" s="225"/>
      <c r="W116" s="288">
        <v>160.56700000000001</v>
      </c>
      <c r="X116" s="289"/>
      <c r="Y116" s="258" t="s">
        <v>549</v>
      </c>
      <c r="Z116" s="240" t="s">
        <v>514</v>
      </c>
      <c r="AA116" s="48">
        <v>160.56700000000001</v>
      </c>
    </row>
    <row r="117" spans="1:27" s="48" customFormat="1" ht="18" customHeight="1">
      <c r="A117" s="159">
        <v>0</v>
      </c>
      <c r="B117" s="160"/>
      <c r="C117" s="160"/>
      <c r="D117" s="161"/>
      <c r="E117" s="265" t="s">
        <v>272</v>
      </c>
      <c r="F117" s="160"/>
      <c r="G117" s="160"/>
      <c r="H117" s="160"/>
      <c r="I117" s="160"/>
      <c r="J117" s="160"/>
      <c r="K117" s="160"/>
      <c r="L117" s="160"/>
      <c r="M117" s="159" t="s">
        <v>931</v>
      </c>
      <c r="N117" s="160"/>
      <c r="O117" s="160"/>
      <c r="P117" s="160"/>
      <c r="Q117" s="160"/>
      <c r="R117" s="283" t="s">
        <v>207</v>
      </c>
      <c r="S117" s="156" t="s">
        <v>19</v>
      </c>
      <c r="T117" s="157">
        <v>17500</v>
      </c>
      <c r="U117" s="239">
        <v>4.2743362831858402E-2</v>
      </c>
      <c r="V117" s="225"/>
      <c r="W117" s="288">
        <v>748.00900000000001</v>
      </c>
      <c r="X117" s="289"/>
      <c r="Y117" s="258" t="s">
        <v>538</v>
      </c>
      <c r="Z117" s="240" t="s">
        <v>130</v>
      </c>
      <c r="AA117" s="48">
        <v>748.00900000000001</v>
      </c>
    </row>
    <row r="118" spans="1:27" s="48" customFormat="1" ht="18" customHeight="1">
      <c r="A118" s="159">
        <v>0</v>
      </c>
      <c r="B118" s="160"/>
      <c r="C118" s="160"/>
      <c r="D118" s="161"/>
      <c r="E118" s="265" t="s">
        <v>776</v>
      </c>
      <c r="F118" s="160"/>
      <c r="G118" s="160"/>
      <c r="H118" s="160"/>
      <c r="I118" s="160"/>
      <c r="J118" s="160"/>
      <c r="K118" s="160"/>
      <c r="L118" s="160"/>
      <c r="M118" s="159" t="s">
        <v>931</v>
      </c>
      <c r="N118" s="160"/>
      <c r="O118" s="160"/>
      <c r="P118" s="160"/>
      <c r="Q118" s="160"/>
      <c r="R118" s="283" t="s">
        <v>705</v>
      </c>
      <c r="S118" s="156" t="s">
        <v>19</v>
      </c>
      <c r="T118" s="157">
        <v>1800</v>
      </c>
      <c r="U118" s="239">
        <v>8.4805309734513279E-2</v>
      </c>
      <c r="V118" s="225"/>
      <c r="W118" s="288">
        <v>152.65</v>
      </c>
      <c r="X118" s="289"/>
      <c r="Y118" s="258" t="s">
        <v>538</v>
      </c>
      <c r="Z118" s="240" t="s">
        <v>130</v>
      </c>
      <c r="AA118" s="48">
        <v>152.65</v>
      </c>
    </row>
    <row r="119" spans="1:27" s="48" customFormat="1" ht="18" customHeight="1">
      <c r="A119" s="159">
        <v>0</v>
      </c>
      <c r="B119" s="160"/>
      <c r="C119" s="160"/>
      <c r="D119" s="161"/>
      <c r="E119" s="265" t="s">
        <v>487</v>
      </c>
      <c r="F119" s="160"/>
      <c r="G119" s="160"/>
      <c r="H119" s="160"/>
      <c r="I119" s="160"/>
      <c r="J119" s="160"/>
      <c r="K119" s="160"/>
      <c r="L119" s="160"/>
      <c r="M119" s="159" t="s">
        <v>931</v>
      </c>
      <c r="N119" s="160"/>
      <c r="O119" s="160"/>
      <c r="P119" s="160"/>
      <c r="Q119" s="160"/>
      <c r="R119" s="283" t="s">
        <v>410</v>
      </c>
      <c r="S119" s="156" t="s">
        <v>19</v>
      </c>
      <c r="T119" s="157">
        <v>35000</v>
      </c>
      <c r="U119" s="239">
        <v>8.8318584070796458E-3</v>
      </c>
      <c r="V119" s="225"/>
      <c r="W119" s="288">
        <v>309.11599999999999</v>
      </c>
      <c r="X119" s="289"/>
      <c r="Y119" s="258" t="s">
        <v>538</v>
      </c>
      <c r="Z119" s="240" t="s">
        <v>130</v>
      </c>
      <c r="AA119" s="48">
        <v>309.11599999999999</v>
      </c>
    </row>
    <row r="120" spans="1:27" s="48" customFormat="1" ht="18" customHeight="1">
      <c r="A120" s="159">
        <v>0</v>
      </c>
      <c r="B120" s="160"/>
      <c r="C120" s="160"/>
      <c r="D120" s="161"/>
      <c r="E120" s="265" t="s">
        <v>275</v>
      </c>
      <c r="F120" s="160"/>
      <c r="G120" s="160"/>
      <c r="H120" s="160"/>
      <c r="I120" s="160"/>
      <c r="J120" s="160"/>
      <c r="K120" s="160"/>
      <c r="L120" s="160"/>
      <c r="M120" s="159" t="s">
        <v>931</v>
      </c>
      <c r="N120" s="160"/>
      <c r="O120" s="160"/>
      <c r="P120" s="160"/>
      <c r="Q120" s="160"/>
      <c r="R120" s="283" t="s">
        <v>210</v>
      </c>
      <c r="S120" s="156" t="s">
        <v>19</v>
      </c>
      <c r="T120" s="157">
        <v>16200</v>
      </c>
      <c r="U120" s="239">
        <v>6.1327433628318578E-3</v>
      </c>
      <c r="V120" s="225"/>
      <c r="W120" s="288">
        <v>99.350999999999999</v>
      </c>
      <c r="X120" s="289"/>
      <c r="Y120" s="258" t="s">
        <v>538</v>
      </c>
      <c r="Z120" s="240" t="s">
        <v>129</v>
      </c>
      <c r="AA120" s="48">
        <v>99.350999999999999</v>
      </c>
    </row>
    <row r="121" spans="1:27" s="48" customFormat="1" ht="18" customHeight="1">
      <c r="A121" s="159">
        <v>0</v>
      </c>
      <c r="B121" s="160"/>
      <c r="C121" s="160"/>
      <c r="D121" s="161"/>
      <c r="E121" s="265" t="s">
        <v>476</v>
      </c>
      <c r="F121" s="160"/>
      <c r="G121" s="160"/>
      <c r="H121" s="160"/>
      <c r="I121" s="160"/>
      <c r="J121" s="160"/>
      <c r="K121" s="160"/>
      <c r="L121" s="160"/>
      <c r="M121" s="159" t="s">
        <v>931</v>
      </c>
      <c r="N121" s="160"/>
      <c r="O121" s="160"/>
      <c r="P121" s="160"/>
      <c r="Q121" s="160"/>
      <c r="R121" s="283" t="s">
        <v>399</v>
      </c>
      <c r="S121" s="156" t="s">
        <v>19</v>
      </c>
      <c r="T121" s="157">
        <v>12000</v>
      </c>
      <c r="U121" s="239">
        <v>1.4035398230088494E-2</v>
      </c>
      <c r="V121" s="225"/>
      <c r="W121" s="288">
        <v>168.42500000000001</v>
      </c>
      <c r="X121" s="289"/>
      <c r="Y121" s="258" t="s">
        <v>538</v>
      </c>
      <c r="Z121" s="240" t="s">
        <v>130</v>
      </c>
      <c r="AA121" s="48">
        <v>168.42500000000001</v>
      </c>
    </row>
    <row r="122" spans="1:27" s="48" customFormat="1" ht="18" customHeight="1">
      <c r="A122" s="159">
        <v>0</v>
      </c>
      <c r="B122" s="160"/>
      <c r="C122" s="160"/>
      <c r="D122" s="161"/>
      <c r="E122" s="265" t="s">
        <v>777</v>
      </c>
      <c r="F122" s="160"/>
      <c r="G122" s="160"/>
      <c r="H122" s="160"/>
      <c r="I122" s="160"/>
      <c r="J122" s="160"/>
      <c r="K122" s="160"/>
      <c r="L122" s="160"/>
      <c r="M122" s="159" t="s">
        <v>931</v>
      </c>
      <c r="N122" s="160"/>
      <c r="O122" s="160"/>
      <c r="P122" s="160"/>
      <c r="Q122" s="160"/>
      <c r="R122" s="283" t="s">
        <v>580</v>
      </c>
      <c r="S122" s="156" t="s">
        <v>19</v>
      </c>
      <c r="T122" s="157">
        <v>8000</v>
      </c>
      <c r="U122" s="239">
        <v>5.1106194690265484E-2</v>
      </c>
      <c r="V122" s="225"/>
      <c r="W122" s="288">
        <v>408.84999999999997</v>
      </c>
      <c r="X122" s="289"/>
      <c r="Y122" s="258" t="s">
        <v>538</v>
      </c>
      <c r="Z122" s="240" t="s">
        <v>328</v>
      </c>
      <c r="AA122" s="48">
        <v>408.84999999999997</v>
      </c>
    </row>
    <row r="123" spans="1:27" s="48" customFormat="1" ht="18" customHeight="1">
      <c r="A123" s="159">
        <v>0</v>
      </c>
      <c r="B123" s="160"/>
      <c r="C123" s="160"/>
      <c r="D123" s="161"/>
      <c r="E123" s="265" t="s">
        <v>475</v>
      </c>
      <c r="F123" s="160"/>
      <c r="G123" s="160"/>
      <c r="H123" s="160"/>
      <c r="I123" s="160"/>
      <c r="J123" s="160"/>
      <c r="K123" s="160"/>
      <c r="L123" s="160"/>
      <c r="M123" s="159" t="s">
        <v>931</v>
      </c>
      <c r="N123" s="160"/>
      <c r="O123" s="160"/>
      <c r="P123" s="160"/>
      <c r="Q123" s="160"/>
      <c r="R123" s="283" t="s">
        <v>398</v>
      </c>
      <c r="S123" s="156" t="s">
        <v>19</v>
      </c>
      <c r="T123" s="157">
        <v>7000</v>
      </c>
      <c r="U123" s="239">
        <v>5.8539823008849565E-2</v>
      </c>
      <c r="V123" s="225"/>
      <c r="W123" s="288">
        <v>409.779</v>
      </c>
      <c r="X123" s="289"/>
      <c r="Y123" s="258" t="s">
        <v>538</v>
      </c>
      <c r="Z123" s="240" t="s">
        <v>514</v>
      </c>
      <c r="AA123" s="48">
        <v>409.779</v>
      </c>
    </row>
    <row r="124" spans="1:27" s="48" customFormat="1" ht="18" customHeight="1">
      <c r="A124" s="159">
        <v>0</v>
      </c>
      <c r="B124" s="160"/>
      <c r="C124" s="160"/>
      <c r="D124" s="161"/>
      <c r="E124" s="265" t="s">
        <v>474</v>
      </c>
      <c r="F124" s="160"/>
      <c r="G124" s="160"/>
      <c r="H124" s="160"/>
      <c r="I124" s="160"/>
      <c r="J124" s="160"/>
      <c r="K124" s="160"/>
      <c r="L124" s="160"/>
      <c r="M124" s="159" t="s">
        <v>931</v>
      </c>
      <c r="N124" s="160"/>
      <c r="O124" s="160"/>
      <c r="P124" s="160"/>
      <c r="Q124" s="160"/>
      <c r="R124" s="283" t="s">
        <v>397</v>
      </c>
      <c r="S124" s="156" t="s">
        <v>19</v>
      </c>
      <c r="T124" s="157">
        <v>14000</v>
      </c>
      <c r="U124" s="239">
        <v>1.7283185840707965E-2</v>
      </c>
      <c r="V124" s="225"/>
      <c r="W124" s="288">
        <v>241.965</v>
      </c>
      <c r="X124" s="289"/>
      <c r="Y124" s="258" t="s">
        <v>538</v>
      </c>
      <c r="Z124" s="240" t="s">
        <v>130</v>
      </c>
      <c r="AA124" s="48">
        <v>241.965</v>
      </c>
    </row>
    <row r="125" spans="1:27" s="48" customFormat="1" ht="18" customHeight="1">
      <c r="A125" s="159">
        <v>0</v>
      </c>
      <c r="B125" s="160"/>
      <c r="C125" s="160"/>
      <c r="D125" s="161"/>
      <c r="E125" s="265" t="s">
        <v>270</v>
      </c>
      <c r="F125" s="160"/>
      <c r="G125" s="160"/>
      <c r="H125" s="160"/>
      <c r="I125" s="160"/>
      <c r="J125" s="160"/>
      <c r="K125" s="160"/>
      <c r="L125" s="160"/>
      <c r="M125" s="159" t="s">
        <v>931</v>
      </c>
      <c r="N125" s="160"/>
      <c r="O125" s="160"/>
      <c r="P125" s="160"/>
      <c r="Q125" s="160"/>
      <c r="R125" s="283" t="s">
        <v>205</v>
      </c>
      <c r="S125" s="156" t="s">
        <v>19</v>
      </c>
      <c r="T125" s="157">
        <v>24000</v>
      </c>
      <c r="U125" s="239">
        <v>1.7283185840707965E-2</v>
      </c>
      <c r="V125" s="225"/>
      <c r="W125" s="288">
        <v>414.79699999999997</v>
      </c>
      <c r="X125" s="289"/>
      <c r="Y125" s="258" t="s">
        <v>538</v>
      </c>
      <c r="Z125" s="240" t="s">
        <v>130</v>
      </c>
      <c r="AA125" s="48">
        <v>414.79699999999997</v>
      </c>
    </row>
    <row r="126" spans="1:27" s="48" customFormat="1" ht="18" customHeight="1">
      <c r="A126" s="159">
        <v>0</v>
      </c>
      <c r="B126" s="160"/>
      <c r="C126" s="160"/>
      <c r="D126" s="161"/>
      <c r="E126" s="265" t="s">
        <v>778</v>
      </c>
      <c r="F126" s="160"/>
      <c r="G126" s="160"/>
      <c r="H126" s="160"/>
      <c r="I126" s="160"/>
      <c r="J126" s="160"/>
      <c r="K126" s="160"/>
      <c r="L126" s="160"/>
      <c r="M126" s="159" t="s">
        <v>930</v>
      </c>
      <c r="N126" s="160"/>
      <c r="O126" s="160"/>
      <c r="P126" s="160"/>
      <c r="Q126" s="160"/>
      <c r="R126" s="283" t="s">
        <v>585</v>
      </c>
      <c r="S126" s="156" t="s">
        <v>19</v>
      </c>
      <c r="T126" s="157">
        <v>8000</v>
      </c>
      <c r="U126" s="239">
        <v>1.2265486725663716E-2</v>
      </c>
      <c r="V126" s="225"/>
      <c r="W126" s="288">
        <v>98.124000000000009</v>
      </c>
      <c r="X126" s="289"/>
      <c r="Y126" s="258" t="s">
        <v>538</v>
      </c>
      <c r="Z126" s="240" t="s">
        <v>328</v>
      </c>
      <c r="AA126" s="48">
        <v>98.124000000000009</v>
      </c>
    </row>
    <row r="127" spans="1:27" s="48" customFormat="1" ht="18" customHeight="1">
      <c r="A127" s="159">
        <v>0</v>
      </c>
      <c r="B127" s="160"/>
      <c r="C127" s="160"/>
      <c r="D127" s="161"/>
      <c r="E127" s="265" t="s">
        <v>779</v>
      </c>
      <c r="F127" s="160"/>
      <c r="G127" s="160"/>
      <c r="H127" s="160"/>
      <c r="I127" s="160"/>
      <c r="J127" s="160"/>
      <c r="K127" s="160"/>
      <c r="L127" s="160"/>
      <c r="M127" s="159" t="s">
        <v>931</v>
      </c>
      <c r="N127" s="160"/>
      <c r="O127" s="160"/>
      <c r="P127" s="160"/>
      <c r="Q127" s="160"/>
      <c r="R127" s="283" t="s">
        <v>587</v>
      </c>
      <c r="S127" s="156" t="s">
        <v>19</v>
      </c>
      <c r="T127" s="157">
        <v>24000</v>
      </c>
      <c r="U127" s="239">
        <v>2.1469026548672568E-2</v>
      </c>
      <c r="V127" s="225"/>
      <c r="W127" s="288">
        <v>515.25699999999995</v>
      </c>
      <c r="X127" s="289"/>
      <c r="Y127" s="258" t="s">
        <v>538</v>
      </c>
      <c r="Z127" s="240" t="s">
        <v>130</v>
      </c>
      <c r="AA127" s="48">
        <v>515.25699999999995</v>
      </c>
    </row>
    <row r="128" spans="1:27" s="48" customFormat="1" ht="18" customHeight="1">
      <c r="A128" s="159">
        <v>0</v>
      </c>
      <c r="B128" s="160"/>
      <c r="C128" s="160"/>
      <c r="D128" s="161"/>
      <c r="E128" s="265" t="s">
        <v>780</v>
      </c>
      <c r="F128" s="160"/>
      <c r="G128" s="160"/>
      <c r="H128" s="160"/>
      <c r="I128" s="160"/>
      <c r="J128" s="160"/>
      <c r="K128" s="160"/>
      <c r="L128" s="160"/>
      <c r="M128" s="159" t="s">
        <v>931</v>
      </c>
      <c r="N128" s="160"/>
      <c r="O128" s="160"/>
      <c r="P128" s="160"/>
      <c r="Q128" s="160"/>
      <c r="R128" s="283" t="s">
        <v>667</v>
      </c>
      <c r="S128" s="156" t="s">
        <v>19</v>
      </c>
      <c r="T128" s="157">
        <v>4500</v>
      </c>
      <c r="U128" s="239">
        <v>2.9734513274336283E-2</v>
      </c>
      <c r="V128" s="225"/>
      <c r="W128" s="288">
        <v>133.80600000000001</v>
      </c>
      <c r="X128" s="289"/>
      <c r="Y128" s="258" t="s">
        <v>538</v>
      </c>
      <c r="Z128" s="240" t="s">
        <v>328</v>
      </c>
      <c r="AA128" s="48">
        <v>133.80600000000001</v>
      </c>
    </row>
    <row r="129" spans="1:27" s="48" customFormat="1" ht="18" customHeight="1">
      <c r="A129" s="159">
        <v>0</v>
      </c>
      <c r="B129" s="160"/>
      <c r="C129" s="160"/>
      <c r="D129" s="161"/>
      <c r="E129" s="265" t="s">
        <v>472</v>
      </c>
      <c r="F129" s="160"/>
      <c r="G129" s="160"/>
      <c r="H129" s="160"/>
      <c r="I129" s="160"/>
      <c r="J129" s="160"/>
      <c r="K129" s="160"/>
      <c r="L129" s="160"/>
      <c r="M129" s="159" t="s">
        <v>931</v>
      </c>
      <c r="N129" s="160"/>
      <c r="O129" s="160"/>
      <c r="P129" s="160"/>
      <c r="Q129" s="160"/>
      <c r="R129" s="283" t="s">
        <v>395</v>
      </c>
      <c r="S129" s="156" t="s">
        <v>19</v>
      </c>
      <c r="T129" s="157">
        <v>15000</v>
      </c>
      <c r="U129" s="239">
        <v>2.1371681415929201E-2</v>
      </c>
      <c r="V129" s="225"/>
      <c r="W129" s="288">
        <v>320.57599999999996</v>
      </c>
      <c r="X129" s="289"/>
      <c r="Y129" s="258" t="s">
        <v>538</v>
      </c>
      <c r="Z129" s="240" t="s">
        <v>514</v>
      </c>
      <c r="AA129" s="48">
        <v>320.57599999999996</v>
      </c>
    </row>
    <row r="130" spans="1:27" s="48" customFormat="1" ht="18" customHeight="1">
      <c r="A130" s="159">
        <v>0</v>
      </c>
      <c r="B130" s="160"/>
      <c r="C130" s="160"/>
      <c r="D130" s="161"/>
      <c r="E130" s="265" t="s">
        <v>471</v>
      </c>
      <c r="F130" s="160"/>
      <c r="G130" s="160"/>
      <c r="H130" s="160"/>
      <c r="I130" s="160"/>
      <c r="J130" s="160"/>
      <c r="K130" s="160"/>
      <c r="L130" s="160"/>
      <c r="M130" s="159" t="s">
        <v>931</v>
      </c>
      <c r="N130" s="160"/>
      <c r="O130" s="160"/>
      <c r="P130" s="160"/>
      <c r="Q130" s="160"/>
      <c r="R130" s="283" t="s">
        <v>394</v>
      </c>
      <c r="S130" s="156" t="s">
        <v>19</v>
      </c>
      <c r="T130" s="157">
        <v>10000</v>
      </c>
      <c r="U130" s="239">
        <v>2.1371681415929201E-2</v>
      </c>
      <c r="V130" s="225"/>
      <c r="W130" s="288">
        <v>213.71700000000001</v>
      </c>
      <c r="X130" s="289"/>
      <c r="Y130" s="258" t="s">
        <v>538</v>
      </c>
      <c r="Z130" s="240" t="s">
        <v>514</v>
      </c>
      <c r="AA130" s="48">
        <v>213.71700000000001</v>
      </c>
    </row>
    <row r="131" spans="1:27" s="48" customFormat="1" ht="18" customHeight="1">
      <c r="A131" s="159">
        <v>0</v>
      </c>
      <c r="B131" s="160"/>
      <c r="C131" s="160"/>
      <c r="D131" s="161"/>
      <c r="E131" s="265" t="s">
        <v>264</v>
      </c>
      <c r="F131" s="160"/>
      <c r="G131" s="160"/>
      <c r="H131" s="160"/>
      <c r="I131" s="160"/>
      <c r="J131" s="160"/>
      <c r="K131" s="160"/>
      <c r="L131" s="160"/>
      <c r="M131" s="159" t="s">
        <v>931</v>
      </c>
      <c r="N131" s="160"/>
      <c r="O131" s="160"/>
      <c r="P131" s="160"/>
      <c r="Q131" s="160"/>
      <c r="R131" s="283" t="s">
        <v>199</v>
      </c>
      <c r="S131" s="156" t="s">
        <v>19</v>
      </c>
      <c r="T131" s="157">
        <v>36000</v>
      </c>
      <c r="U131" s="239">
        <v>2.7876106194690265E-2</v>
      </c>
      <c r="V131" s="225"/>
      <c r="W131" s="288">
        <v>1003.54</v>
      </c>
      <c r="X131" s="289"/>
      <c r="Y131" s="258" t="s">
        <v>538</v>
      </c>
      <c r="Z131" s="240" t="s">
        <v>130</v>
      </c>
      <c r="AA131" s="48">
        <v>1003.54</v>
      </c>
    </row>
    <row r="132" spans="1:27" s="48" customFormat="1" ht="18" customHeight="1">
      <c r="A132" s="159">
        <v>0</v>
      </c>
      <c r="B132" s="160"/>
      <c r="C132" s="160"/>
      <c r="D132" s="161"/>
      <c r="E132" s="265" t="s">
        <v>265</v>
      </c>
      <c r="F132" s="160"/>
      <c r="G132" s="160"/>
      <c r="H132" s="160"/>
      <c r="I132" s="160"/>
      <c r="J132" s="160"/>
      <c r="K132" s="160"/>
      <c r="L132" s="160"/>
      <c r="M132" s="159" t="s">
        <v>931</v>
      </c>
      <c r="N132" s="160"/>
      <c r="O132" s="160"/>
      <c r="P132" s="160"/>
      <c r="Q132" s="160"/>
      <c r="R132" s="283" t="s">
        <v>200</v>
      </c>
      <c r="S132" s="156" t="s">
        <v>19</v>
      </c>
      <c r="T132" s="157">
        <v>64000</v>
      </c>
      <c r="U132" s="239">
        <v>4.2743362831858402E-2</v>
      </c>
      <c r="V132" s="225"/>
      <c r="W132" s="288">
        <v>2735.576</v>
      </c>
      <c r="X132" s="289"/>
      <c r="Y132" s="258" t="s">
        <v>540</v>
      </c>
      <c r="Z132" s="240" t="s">
        <v>130</v>
      </c>
      <c r="AA132" s="48">
        <v>2735.576</v>
      </c>
    </row>
    <row r="133" spans="1:27" s="48" customFormat="1" ht="18" customHeight="1">
      <c r="A133" s="159">
        <v>0</v>
      </c>
      <c r="B133" s="160"/>
      <c r="C133" s="160"/>
      <c r="D133" s="161"/>
      <c r="E133" s="265" t="s">
        <v>781</v>
      </c>
      <c r="F133" s="160"/>
      <c r="G133" s="160"/>
      <c r="H133" s="160"/>
      <c r="I133" s="160"/>
      <c r="J133" s="160"/>
      <c r="K133" s="160"/>
      <c r="L133" s="160"/>
      <c r="M133" s="159" t="s">
        <v>931</v>
      </c>
      <c r="N133" s="160"/>
      <c r="O133" s="160"/>
      <c r="P133" s="160"/>
      <c r="Q133" s="160"/>
      <c r="R133" s="283" t="s">
        <v>708</v>
      </c>
      <c r="S133" s="156" t="s">
        <v>19</v>
      </c>
      <c r="T133" s="157">
        <v>2200</v>
      </c>
      <c r="U133" s="239">
        <v>6.411504424778762E-2</v>
      </c>
      <c r="V133" s="225"/>
      <c r="W133" s="288">
        <v>141.054</v>
      </c>
      <c r="X133" s="289"/>
      <c r="Y133" s="258" t="s">
        <v>538</v>
      </c>
      <c r="Z133" s="240" t="s">
        <v>130</v>
      </c>
      <c r="AA133" s="48">
        <v>141.054</v>
      </c>
    </row>
    <row r="134" spans="1:27" s="48" customFormat="1" ht="18" customHeight="1">
      <c r="A134" s="159">
        <v>0</v>
      </c>
      <c r="B134" s="160"/>
      <c r="C134" s="160"/>
      <c r="D134" s="161"/>
      <c r="E134" s="265" t="s">
        <v>274</v>
      </c>
      <c r="F134" s="160"/>
      <c r="G134" s="160"/>
      <c r="H134" s="160"/>
      <c r="I134" s="160"/>
      <c r="J134" s="160"/>
      <c r="K134" s="160"/>
      <c r="L134" s="160"/>
      <c r="M134" s="159" t="s">
        <v>931</v>
      </c>
      <c r="N134" s="160"/>
      <c r="O134" s="160"/>
      <c r="P134" s="160"/>
      <c r="Q134" s="160"/>
      <c r="R134" s="283" t="s">
        <v>209</v>
      </c>
      <c r="S134" s="156" t="s">
        <v>19</v>
      </c>
      <c r="T134" s="157">
        <v>48000</v>
      </c>
      <c r="U134" s="239">
        <v>2.1371681415929201E-2</v>
      </c>
      <c r="V134" s="225"/>
      <c r="W134" s="288">
        <v>1025.8409999999999</v>
      </c>
      <c r="X134" s="289"/>
      <c r="Y134" s="258" t="s">
        <v>538</v>
      </c>
      <c r="Z134" s="240" t="s">
        <v>130</v>
      </c>
      <c r="AA134" s="48">
        <v>1025.8409999999999</v>
      </c>
    </row>
    <row r="135" spans="1:27" s="48" customFormat="1" ht="18" customHeight="1">
      <c r="A135" s="159">
        <v>0</v>
      </c>
      <c r="B135" s="160"/>
      <c r="C135" s="160"/>
      <c r="D135" s="161"/>
      <c r="E135" s="265" t="s">
        <v>782</v>
      </c>
      <c r="F135" s="160"/>
      <c r="G135" s="160"/>
      <c r="H135" s="160"/>
      <c r="I135" s="160"/>
      <c r="J135" s="160"/>
      <c r="K135" s="160"/>
      <c r="L135" s="160"/>
      <c r="M135" s="159" t="s">
        <v>931</v>
      </c>
      <c r="N135" s="160"/>
      <c r="O135" s="160"/>
      <c r="P135" s="160"/>
      <c r="Q135" s="160"/>
      <c r="R135" s="283" t="s">
        <v>573</v>
      </c>
      <c r="S135" s="156" t="s">
        <v>19</v>
      </c>
      <c r="T135" s="157">
        <v>60000</v>
      </c>
      <c r="U135" s="239">
        <v>3.4575221238938053E-2</v>
      </c>
      <c r="V135" s="225"/>
      <c r="W135" s="288">
        <v>2074.5140000000001</v>
      </c>
      <c r="X135" s="289"/>
      <c r="Y135" s="258" t="s">
        <v>538</v>
      </c>
      <c r="Z135" s="240" t="s">
        <v>328</v>
      </c>
      <c r="AA135" s="48">
        <v>2074.5140000000001</v>
      </c>
    </row>
    <row r="136" spans="1:27" s="48" customFormat="1" ht="18" customHeight="1">
      <c r="A136" s="159">
        <v>0</v>
      </c>
      <c r="B136" s="160"/>
      <c r="C136" s="160"/>
      <c r="D136" s="161"/>
      <c r="E136" s="265" t="s">
        <v>783</v>
      </c>
      <c r="F136" s="160"/>
      <c r="G136" s="160"/>
      <c r="H136" s="160"/>
      <c r="I136" s="160"/>
      <c r="J136" s="160"/>
      <c r="K136" s="160"/>
      <c r="L136" s="160"/>
      <c r="M136" s="159" t="s">
        <v>931</v>
      </c>
      <c r="N136" s="160"/>
      <c r="O136" s="160"/>
      <c r="P136" s="160"/>
      <c r="Q136" s="160"/>
      <c r="R136" s="283" t="s">
        <v>555</v>
      </c>
      <c r="S136" s="156" t="s">
        <v>19</v>
      </c>
      <c r="T136" s="157">
        <v>4800</v>
      </c>
      <c r="U136" s="239">
        <v>0.17887610619469027</v>
      </c>
      <c r="V136" s="225"/>
      <c r="W136" s="288">
        <v>858.60599999999999</v>
      </c>
      <c r="X136" s="289"/>
      <c r="Y136" s="258" t="s">
        <v>538</v>
      </c>
      <c r="Z136" s="240" t="s">
        <v>328</v>
      </c>
      <c r="AA136" s="48">
        <v>858.60599999999999</v>
      </c>
    </row>
    <row r="137" spans="1:27" s="48" customFormat="1" ht="18" customHeight="1">
      <c r="A137" s="159">
        <v>0</v>
      </c>
      <c r="B137" s="160"/>
      <c r="C137" s="160"/>
      <c r="D137" s="161"/>
      <c r="E137" s="265" t="s">
        <v>271</v>
      </c>
      <c r="F137" s="160"/>
      <c r="G137" s="160"/>
      <c r="H137" s="160"/>
      <c r="I137" s="160"/>
      <c r="J137" s="160"/>
      <c r="K137" s="160"/>
      <c r="L137" s="160"/>
      <c r="M137" s="159" t="s">
        <v>931</v>
      </c>
      <c r="N137" s="160"/>
      <c r="O137" s="160"/>
      <c r="P137" s="160"/>
      <c r="Q137" s="160"/>
      <c r="R137" s="283" t="s">
        <v>206</v>
      </c>
      <c r="S137" s="156" t="s">
        <v>19</v>
      </c>
      <c r="T137" s="157">
        <v>3300</v>
      </c>
      <c r="U137" s="239">
        <v>4.2743362831858402E-2</v>
      </c>
      <c r="V137" s="225"/>
      <c r="W137" s="288">
        <v>141.054</v>
      </c>
      <c r="X137" s="289"/>
      <c r="Y137" s="258" t="s">
        <v>538</v>
      </c>
      <c r="Z137" s="240" t="s">
        <v>130</v>
      </c>
      <c r="AA137" s="48">
        <v>141.054</v>
      </c>
    </row>
    <row r="138" spans="1:27" s="48" customFormat="1" ht="18" customHeight="1">
      <c r="A138" s="159">
        <v>0</v>
      </c>
      <c r="B138" s="160"/>
      <c r="C138" s="160"/>
      <c r="D138" s="161"/>
      <c r="E138" s="265" t="s">
        <v>784</v>
      </c>
      <c r="F138" s="160"/>
      <c r="G138" s="160"/>
      <c r="H138" s="160"/>
      <c r="I138" s="160"/>
      <c r="J138" s="160"/>
      <c r="K138" s="160"/>
      <c r="L138" s="160"/>
      <c r="M138" s="159" t="s">
        <v>931</v>
      </c>
      <c r="N138" s="160"/>
      <c r="O138" s="160"/>
      <c r="P138" s="160"/>
      <c r="Q138" s="160"/>
      <c r="R138" s="283" t="s">
        <v>567</v>
      </c>
      <c r="S138" s="156" t="s">
        <v>19</v>
      </c>
      <c r="T138" s="157">
        <v>28000</v>
      </c>
      <c r="U138" s="239">
        <v>7.2088495575221234E-2</v>
      </c>
      <c r="V138" s="225"/>
      <c r="W138" s="288">
        <v>2018.4780000000001</v>
      </c>
      <c r="X138" s="289"/>
      <c r="Y138" s="258" t="s">
        <v>538</v>
      </c>
      <c r="Z138" s="240" t="s">
        <v>328</v>
      </c>
      <c r="AA138" s="48">
        <v>2018.4780000000001</v>
      </c>
    </row>
    <row r="139" spans="1:27" s="48" customFormat="1" ht="18" customHeight="1">
      <c r="A139" s="159">
        <v>0</v>
      </c>
      <c r="B139" s="160"/>
      <c r="C139" s="160"/>
      <c r="D139" s="161"/>
      <c r="E139" s="265" t="s">
        <v>785</v>
      </c>
      <c r="F139" s="160"/>
      <c r="G139" s="160"/>
      <c r="H139" s="160"/>
      <c r="I139" s="160"/>
      <c r="J139" s="160"/>
      <c r="K139" s="160"/>
      <c r="L139" s="160"/>
      <c r="M139" s="159" t="s">
        <v>931</v>
      </c>
      <c r="N139" s="160"/>
      <c r="O139" s="160"/>
      <c r="P139" s="160"/>
      <c r="Q139" s="160"/>
      <c r="R139" s="283" t="s">
        <v>579</v>
      </c>
      <c r="S139" s="156" t="s">
        <v>19</v>
      </c>
      <c r="T139" s="157">
        <v>2200</v>
      </c>
      <c r="U139" s="239">
        <v>8.6327433628318587E-2</v>
      </c>
      <c r="V139" s="225"/>
      <c r="W139" s="288">
        <v>189.92099999999999</v>
      </c>
      <c r="X139" s="289"/>
      <c r="Y139" s="258" t="s">
        <v>538</v>
      </c>
      <c r="Z139" s="240" t="s">
        <v>130</v>
      </c>
      <c r="AA139" s="48">
        <v>189.92099999999999</v>
      </c>
    </row>
    <row r="140" spans="1:27" s="48" customFormat="1" ht="18" customHeight="1">
      <c r="A140" s="159">
        <v>0</v>
      </c>
      <c r="B140" s="160"/>
      <c r="C140" s="160"/>
      <c r="D140" s="161"/>
      <c r="E140" s="265" t="s">
        <v>468</v>
      </c>
      <c r="F140" s="160"/>
      <c r="G140" s="160"/>
      <c r="H140" s="160"/>
      <c r="I140" s="160"/>
      <c r="J140" s="160"/>
      <c r="K140" s="160"/>
      <c r="L140" s="160"/>
      <c r="M140" s="159" t="s">
        <v>932</v>
      </c>
      <c r="N140" s="160"/>
      <c r="O140" s="160"/>
      <c r="P140" s="160"/>
      <c r="Q140" s="160"/>
      <c r="R140" s="283" t="s">
        <v>392</v>
      </c>
      <c r="S140" s="156" t="s">
        <v>55</v>
      </c>
      <c r="T140" s="157">
        <v>30000</v>
      </c>
      <c r="U140" s="239">
        <v>3.5309734513274335E-2</v>
      </c>
      <c r="V140" s="225"/>
      <c r="W140" s="288">
        <v>1059.2929999999999</v>
      </c>
      <c r="X140" s="289"/>
      <c r="Y140" s="258" t="s">
        <v>538</v>
      </c>
      <c r="Z140" s="240" t="s">
        <v>128</v>
      </c>
      <c r="AA140" s="48">
        <v>1059.2929999999999</v>
      </c>
    </row>
    <row r="141" spans="1:27" s="48" customFormat="1" ht="18" customHeight="1">
      <c r="A141" s="159">
        <v>0</v>
      </c>
      <c r="B141" s="160"/>
      <c r="C141" s="160"/>
      <c r="D141" s="161"/>
      <c r="E141" s="265" t="s">
        <v>56</v>
      </c>
      <c r="F141" s="160"/>
      <c r="G141" s="160"/>
      <c r="H141" s="160"/>
      <c r="I141" s="160"/>
      <c r="J141" s="160"/>
      <c r="K141" s="160"/>
      <c r="L141" s="160"/>
      <c r="M141" s="159" t="s">
        <v>932</v>
      </c>
      <c r="N141" s="160"/>
      <c r="O141" s="160"/>
      <c r="P141" s="160"/>
      <c r="Q141" s="160"/>
      <c r="R141" s="283" t="s">
        <v>75</v>
      </c>
      <c r="S141" s="156" t="s">
        <v>55</v>
      </c>
      <c r="T141" s="157">
        <v>76000</v>
      </c>
      <c r="U141" s="239">
        <v>3.5061946902654864E-2</v>
      </c>
      <c r="V141" s="225"/>
      <c r="W141" s="288">
        <v>2664.7080000000001</v>
      </c>
      <c r="X141" s="289"/>
      <c r="Y141" s="258" t="s">
        <v>538</v>
      </c>
      <c r="Z141" s="240" t="s">
        <v>121</v>
      </c>
      <c r="AA141" s="48">
        <v>2664.7080000000001</v>
      </c>
    </row>
    <row r="142" spans="1:27" s="48" customFormat="1" ht="18" customHeight="1">
      <c r="A142" s="159">
        <v>0</v>
      </c>
      <c r="B142" s="160"/>
      <c r="C142" s="160"/>
      <c r="D142" s="161"/>
      <c r="E142" s="265" t="s">
        <v>58</v>
      </c>
      <c r="F142" s="160"/>
      <c r="G142" s="160"/>
      <c r="H142" s="160"/>
      <c r="I142" s="160"/>
      <c r="J142" s="160"/>
      <c r="K142" s="160"/>
      <c r="L142" s="160"/>
      <c r="M142" s="159" t="s">
        <v>933</v>
      </c>
      <c r="N142" s="160"/>
      <c r="O142" s="160"/>
      <c r="P142" s="160"/>
      <c r="Q142" s="160"/>
      <c r="R142" s="283" t="s">
        <v>77</v>
      </c>
      <c r="S142" s="156" t="s">
        <v>55</v>
      </c>
      <c r="T142" s="157">
        <v>69000</v>
      </c>
      <c r="U142" s="239">
        <v>6.2982300884955753E-2</v>
      </c>
      <c r="V142" s="225"/>
      <c r="W142" s="288">
        <v>4345.7790000000005</v>
      </c>
      <c r="X142" s="289"/>
      <c r="Y142" s="258" t="s">
        <v>538</v>
      </c>
      <c r="Z142" s="240" t="s">
        <v>128</v>
      </c>
      <c r="AA142" s="48">
        <v>4345.7790000000005</v>
      </c>
    </row>
    <row r="143" spans="1:27" s="48" customFormat="1" ht="18" customHeight="1">
      <c r="A143" s="159">
        <v>0</v>
      </c>
      <c r="B143" s="160"/>
      <c r="C143" s="160"/>
      <c r="D143" s="161"/>
      <c r="E143" s="265" t="s">
        <v>57</v>
      </c>
      <c r="F143" s="160"/>
      <c r="G143" s="160"/>
      <c r="H143" s="160"/>
      <c r="I143" s="160"/>
      <c r="J143" s="160"/>
      <c r="K143" s="160"/>
      <c r="L143" s="160"/>
      <c r="M143" s="159" t="s">
        <v>933</v>
      </c>
      <c r="N143" s="160"/>
      <c r="O143" s="160"/>
      <c r="P143" s="160"/>
      <c r="Q143" s="160"/>
      <c r="R143" s="283" t="s">
        <v>76</v>
      </c>
      <c r="S143" s="156" t="s">
        <v>55</v>
      </c>
      <c r="T143" s="157">
        <v>2400</v>
      </c>
      <c r="U143" s="239">
        <v>8.2247787610619474E-2</v>
      </c>
      <c r="V143" s="225"/>
      <c r="W143" s="288">
        <v>197.39500000000001</v>
      </c>
      <c r="X143" s="289"/>
      <c r="Y143" s="258" t="s">
        <v>538</v>
      </c>
      <c r="Z143" s="240" t="s">
        <v>128</v>
      </c>
      <c r="AA143" s="48">
        <v>197.39500000000001</v>
      </c>
    </row>
    <row r="144" spans="1:27" s="48" customFormat="1" ht="18" customHeight="1">
      <c r="A144" s="159">
        <v>0</v>
      </c>
      <c r="B144" s="160"/>
      <c r="C144" s="160"/>
      <c r="D144" s="161"/>
      <c r="E144" s="265" t="s">
        <v>282</v>
      </c>
      <c r="F144" s="160"/>
      <c r="G144" s="160"/>
      <c r="H144" s="160"/>
      <c r="I144" s="160"/>
      <c r="J144" s="160"/>
      <c r="K144" s="160"/>
      <c r="L144" s="160"/>
      <c r="M144" s="159" t="s">
        <v>931</v>
      </c>
      <c r="N144" s="160"/>
      <c r="O144" s="160"/>
      <c r="P144" s="160"/>
      <c r="Q144" s="160"/>
      <c r="R144" s="283" t="s">
        <v>217</v>
      </c>
      <c r="S144" s="156" t="s">
        <v>19</v>
      </c>
      <c r="T144" s="157">
        <v>6000</v>
      </c>
      <c r="U144" s="239">
        <v>9.8495575221238946E-3</v>
      </c>
      <c r="V144" s="225"/>
      <c r="W144" s="288">
        <v>59.097999999999999</v>
      </c>
      <c r="X144" s="289"/>
      <c r="Y144" s="258" t="s">
        <v>538</v>
      </c>
      <c r="Z144" s="240" t="s">
        <v>130</v>
      </c>
      <c r="AA144" s="48">
        <v>59.097999999999999</v>
      </c>
    </row>
    <row r="145" spans="1:27" s="48" customFormat="1" ht="18" customHeight="1">
      <c r="A145" s="159">
        <v>0</v>
      </c>
      <c r="B145" s="160"/>
      <c r="C145" s="160"/>
      <c r="D145" s="161"/>
      <c r="E145" s="265" t="s">
        <v>284</v>
      </c>
      <c r="F145" s="160"/>
      <c r="G145" s="160"/>
      <c r="H145" s="160"/>
      <c r="I145" s="160"/>
      <c r="J145" s="160"/>
      <c r="K145" s="160"/>
      <c r="L145" s="160"/>
      <c r="M145" s="159" t="s">
        <v>931</v>
      </c>
      <c r="N145" s="160"/>
      <c r="O145" s="160"/>
      <c r="P145" s="160"/>
      <c r="Q145" s="160"/>
      <c r="R145" s="283" t="s">
        <v>219</v>
      </c>
      <c r="S145" s="156" t="s">
        <v>19</v>
      </c>
      <c r="T145" s="157">
        <v>700</v>
      </c>
      <c r="U145" s="239">
        <v>3.4106194690265483E-2</v>
      </c>
      <c r="V145" s="225"/>
      <c r="W145" s="288">
        <v>23.875</v>
      </c>
      <c r="X145" s="289"/>
      <c r="Y145" s="258" t="s">
        <v>538</v>
      </c>
      <c r="Z145" s="240" t="s">
        <v>130</v>
      </c>
      <c r="AA145" s="48">
        <v>23.875</v>
      </c>
    </row>
    <row r="146" spans="1:27" s="48" customFormat="1" ht="18" customHeight="1">
      <c r="A146" s="159">
        <v>0</v>
      </c>
      <c r="B146" s="160"/>
      <c r="C146" s="160"/>
      <c r="D146" s="161"/>
      <c r="E146" s="265" t="s">
        <v>786</v>
      </c>
      <c r="F146" s="160"/>
      <c r="G146" s="160"/>
      <c r="H146" s="160"/>
      <c r="I146" s="160"/>
      <c r="J146" s="160"/>
      <c r="K146" s="160"/>
      <c r="L146" s="160"/>
      <c r="M146" s="159" t="s">
        <v>931</v>
      </c>
      <c r="N146" s="160"/>
      <c r="O146" s="160"/>
      <c r="P146" s="160"/>
      <c r="Q146" s="160"/>
      <c r="R146" s="283" t="s">
        <v>701</v>
      </c>
      <c r="S146" s="156" t="s">
        <v>19</v>
      </c>
      <c r="T146" s="157">
        <v>15000</v>
      </c>
      <c r="U146" s="239">
        <v>1.3938053097345133E-2</v>
      </c>
      <c r="V146" s="225"/>
      <c r="W146" s="288">
        <v>209.071</v>
      </c>
      <c r="X146" s="289"/>
      <c r="Y146" s="258" t="s">
        <v>538</v>
      </c>
      <c r="Z146" s="240" t="s">
        <v>328</v>
      </c>
      <c r="AA146" s="48">
        <v>209.071</v>
      </c>
    </row>
    <row r="147" spans="1:27" s="48" customFormat="1" ht="18" customHeight="1">
      <c r="A147" s="159">
        <v>0</v>
      </c>
      <c r="B147" s="160"/>
      <c r="C147" s="160"/>
      <c r="D147" s="161"/>
      <c r="E147" s="265" t="s">
        <v>787</v>
      </c>
      <c r="F147" s="160"/>
      <c r="G147" s="160"/>
      <c r="H147" s="160"/>
      <c r="I147" s="160"/>
      <c r="J147" s="160"/>
      <c r="K147" s="160"/>
      <c r="L147" s="160"/>
      <c r="M147" s="159" t="s">
        <v>931</v>
      </c>
      <c r="N147" s="160"/>
      <c r="O147" s="160"/>
      <c r="P147" s="160"/>
      <c r="Q147" s="160"/>
      <c r="R147" s="283" t="s">
        <v>554</v>
      </c>
      <c r="S147" s="156" t="s">
        <v>19</v>
      </c>
      <c r="T147" s="157">
        <v>2400</v>
      </c>
      <c r="U147" s="239">
        <v>6.0867256637168139E-2</v>
      </c>
      <c r="V147" s="225"/>
      <c r="W147" s="288">
        <v>146.08199999999999</v>
      </c>
      <c r="X147" s="289"/>
      <c r="Y147" s="258" t="s">
        <v>538</v>
      </c>
      <c r="Z147" s="240" t="s">
        <v>130</v>
      </c>
      <c r="AA147" s="48">
        <v>146.08199999999999</v>
      </c>
    </row>
    <row r="148" spans="1:27" s="48" customFormat="1" ht="18" customHeight="1">
      <c r="A148" s="159">
        <v>0</v>
      </c>
      <c r="B148" s="160"/>
      <c r="C148" s="160"/>
      <c r="D148" s="161"/>
      <c r="E148" s="265" t="s">
        <v>488</v>
      </c>
      <c r="F148" s="160"/>
      <c r="G148" s="160"/>
      <c r="H148" s="160"/>
      <c r="I148" s="160"/>
      <c r="J148" s="160"/>
      <c r="K148" s="160"/>
      <c r="L148" s="160"/>
      <c r="M148" s="159" t="s">
        <v>931</v>
      </c>
      <c r="N148" s="160"/>
      <c r="O148" s="160"/>
      <c r="P148" s="160"/>
      <c r="Q148" s="160"/>
      <c r="R148" s="283" t="s">
        <v>411</v>
      </c>
      <c r="S148" s="156" t="s">
        <v>19</v>
      </c>
      <c r="T148" s="157">
        <v>12000</v>
      </c>
      <c r="U148" s="239">
        <v>1.0407079646017699E-2</v>
      </c>
      <c r="V148" s="225"/>
      <c r="W148" s="288">
        <v>124.88500000000001</v>
      </c>
      <c r="X148" s="289"/>
      <c r="Y148" s="258" t="s">
        <v>538</v>
      </c>
      <c r="Z148" s="240" t="s">
        <v>130</v>
      </c>
      <c r="AA148" s="48">
        <v>124.88500000000001</v>
      </c>
    </row>
    <row r="149" spans="1:27" s="48" customFormat="1" ht="18" customHeight="1">
      <c r="A149" s="159">
        <v>0</v>
      </c>
      <c r="B149" s="160"/>
      <c r="C149" s="160"/>
      <c r="D149" s="161"/>
      <c r="E149" s="265" t="s">
        <v>788</v>
      </c>
      <c r="F149" s="160"/>
      <c r="G149" s="160"/>
      <c r="H149" s="160"/>
      <c r="I149" s="160"/>
      <c r="J149" s="160"/>
      <c r="K149" s="160"/>
      <c r="L149" s="160"/>
      <c r="M149" s="159" t="s">
        <v>931</v>
      </c>
      <c r="N149" s="160"/>
      <c r="O149" s="160"/>
      <c r="P149" s="160"/>
      <c r="Q149" s="160"/>
      <c r="R149" s="283" t="s">
        <v>408</v>
      </c>
      <c r="S149" s="156" t="s">
        <v>19</v>
      </c>
      <c r="T149" s="157">
        <v>25000</v>
      </c>
      <c r="U149" s="239">
        <v>7.9911504424778762E-3</v>
      </c>
      <c r="V149" s="225"/>
      <c r="W149" s="288">
        <v>199.779</v>
      </c>
      <c r="X149" s="289"/>
      <c r="Y149" s="258" t="s">
        <v>538</v>
      </c>
      <c r="Z149" s="240" t="s">
        <v>130</v>
      </c>
      <c r="AA149" s="48">
        <v>199.779</v>
      </c>
    </row>
    <row r="150" spans="1:27" s="48" customFormat="1" ht="18" customHeight="1">
      <c r="A150" s="159">
        <v>0</v>
      </c>
      <c r="B150" s="160"/>
      <c r="C150" s="160"/>
      <c r="D150" s="161"/>
      <c r="E150" s="265" t="s">
        <v>479</v>
      </c>
      <c r="F150" s="160"/>
      <c r="G150" s="160"/>
      <c r="H150" s="160"/>
      <c r="I150" s="160"/>
      <c r="J150" s="160"/>
      <c r="K150" s="160"/>
      <c r="L150" s="160"/>
      <c r="M150" s="159" t="s">
        <v>931</v>
      </c>
      <c r="N150" s="160"/>
      <c r="O150" s="160"/>
      <c r="P150" s="160"/>
      <c r="Q150" s="160"/>
      <c r="R150" s="283" t="s">
        <v>402</v>
      </c>
      <c r="S150" s="156" t="s">
        <v>19</v>
      </c>
      <c r="T150" s="157">
        <v>24000</v>
      </c>
      <c r="U150" s="239">
        <v>1.3274336283185841E-2</v>
      </c>
      <c r="V150" s="225"/>
      <c r="W150" s="288">
        <v>318.58499999999998</v>
      </c>
      <c r="X150" s="289"/>
      <c r="Y150" s="258" t="s">
        <v>538</v>
      </c>
      <c r="Z150" s="240" t="s">
        <v>130</v>
      </c>
      <c r="AA150" s="48">
        <v>318.58499999999998</v>
      </c>
    </row>
    <row r="151" spans="1:27" s="48" customFormat="1" ht="18" customHeight="1">
      <c r="A151" s="159">
        <v>0</v>
      </c>
      <c r="B151" s="160"/>
      <c r="C151" s="160"/>
      <c r="D151" s="161"/>
      <c r="E151" s="265" t="s">
        <v>789</v>
      </c>
      <c r="F151" s="160"/>
      <c r="G151" s="160"/>
      <c r="H151" s="160"/>
      <c r="I151" s="160"/>
      <c r="J151" s="160"/>
      <c r="K151" s="160"/>
      <c r="L151" s="160"/>
      <c r="M151" s="159" t="s">
        <v>931</v>
      </c>
      <c r="N151" s="160"/>
      <c r="O151" s="160"/>
      <c r="P151" s="160"/>
      <c r="Q151" s="160"/>
      <c r="R151" s="283" t="s">
        <v>733</v>
      </c>
      <c r="S151" s="156" t="s">
        <v>19</v>
      </c>
      <c r="T151" s="157">
        <v>12000</v>
      </c>
      <c r="U151" s="239">
        <v>1.2283185840707965E-2</v>
      </c>
      <c r="V151" s="225"/>
      <c r="W151" s="288">
        <v>147.399</v>
      </c>
      <c r="X151" s="289"/>
      <c r="Y151" s="258" t="s">
        <v>538</v>
      </c>
      <c r="Z151" s="240" t="s">
        <v>328</v>
      </c>
      <c r="AA151" s="48">
        <v>147.399</v>
      </c>
    </row>
    <row r="152" spans="1:27" s="48" customFormat="1" ht="18" customHeight="1">
      <c r="A152" s="159">
        <v>0</v>
      </c>
      <c r="B152" s="160"/>
      <c r="C152" s="160"/>
      <c r="D152" s="161"/>
      <c r="E152" s="265" t="s">
        <v>790</v>
      </c>
      <c r="F152" s="160"/>
      <c r="G152" s="160"/>
      <c r="H152" s="160"/>
      <c r="I152" s="160"/>
      <c r="J152" s="160"/>
      <c r="K152" s="160"/>
      <c r="L152" s="160"/>
      <c r="M152" s="159" t="s">
        <v>931</v>
      </c>
      <c r="N152" s="160"/>
      <c r="O152" s="160"/>
      <c r="P152" s="160"/>
      <c r="Q152" s="160"/>
      <c r="R152" s="283" t="s">
        <v>565</v>
      </c>
      <c r="S152" s="156" t="s">
        <v>19</v>
      </c>
      <c r="T152" s="157">
        <v>3500</v>
      </c>
      <c r="U152" s="239">
        <v>2.1690265486725663E-2</v>
      </c>
      <c r="V152" s="225"/>
      <c r="W152" s="288">
        <v>75.916000000000011</v>
      </c>
      <c r="X152" s="289"/>
      <c r="Y152" s="258" t="s">
        <v>538</v>
      </c>
      <c r="Z152" s="240" t="s">
        <v>130</v>
      </c>
      <c r="AA152" s="48">
        <v>75.916000000000011</v>
      </c>
    </row>
    <row r="153" spans="1:27" s="48" customFormat="1" ht="18" customHeight="1">
      <c r="A153" s="159">
        <v>0</v>
      </c>
      <c r="B153" s="160"/>
      <c r="C153" s="160"/>
      <c r="D153" s="161"/>
      <c r="E153" s="265" t="s">
        <v>791</v>
      </c>
      <c r="F153" s="160"/>
      <c r="G153" s="160"/>
      <c r="H153" s="160"/>
      <c r="I153" s="160"/>
      <c r="J153" s="160"/>
      <c r="K153" s="160"/>
      <c r="L153" s="160"/>
      <c r="M153" s="159" t="s">
        <v>931</v>
      </c>
      <c r="N153" s="160"/>
      <c r="O153" s="160"/>
      <c r="P153" s="160"/>
      <c r="Q153" s="160"/>
      <c r="R153" s="283" t="s">
        <v>569</v>
      </c>
      <c r="S153" s="156" t="s">
        <v>19</v>
      </c>
      <c r="T153" s="157">
        <v>30000</v>
      </c>
      <c r="U153" s="239">
        <v>2.3362831858407079E-2</v>
      </c>
      <c r="V153" s="225"/>
      <c r="W153" s="288">
        <v>700.88499999999999</v>
      </c>
      <c r="X153" s="289"/>
      <c r="Y153" s="258" t="s">
        <v>538</v>
      </c>
      <c r="Z153" s="240" t="s">
        <v>130</v>
      </c>
      <c r="AA153" s="48">
        <v>700.88499999999999</v>
      </c>
    </row>
    <row r="154" spans="1:27" s="48" customFormat="1" ht="18" customHeight="1">
      <c r="A154" s="159">
        <v>0</v>
      </c>
      <c r="B154" s="160"/>
      <c r="C154" s="160"/>
      <c r="D154" s="161"/>
      <c r="E154" s="265" t="s">
        <v>281</v>
      </c>
      <c r="F154" s="160"/>
      <c r="G154" s="160"/>
      <c r="H154" s="160"/>
      <c r="I154" s="160"/>
      <c r="J154" s="160"/>
      <c r="K154" s="160"/>
      <c r="L154" s="160"/>
      <c r="M154" s="159" t="s">
        <v>931</v>
      </c>
      <c r="N154" s="160"/>
      <c r="O154" s="160"/>
      <c r="P154" s="160"/>
      <c r="Q154" s="160"/>
      <c r="R154" s="283" t="s">
        <v>216</v>
      </c>
      <c r="S154" s="156" t="s">
        <v>19</v>
      </c>
      <c r="T154" s="157">
        <v>24000</v>
      </c>
      <c r="U154" s="239">
        <v>2.9389380530973452E-2</v>
      </c>
      <c r="V154" s="225"/>
      <c r="W154" s="288">
        <v>705.346</v>
      </c>
      <c r="X154" s="289"/>
      <c r="Y154" s="258" t="s">
        <v>538</v>
      </c>
      <c r="Z154" s="240" t="s">
        <v>130</v>
      </c>
      <c r="AA154" s="48">
        <v>705.346</v>
      </c>
    </row>
    <row r="155" spans="1:27" s="48" customFormat="1" ht="18" customHeight="1">
      <c r="A155" s="159">
        <v>0</v>
      </c>
      <c r="B155" s="160"/>
      <c r="C155" s="160"/>
      <c r="D155" s="161"/>
      <c r="E155" s="265" t="s">
        <v>279</v>
      </c>
      <c r="F155" s="160"/>
      <c r="G155" s="160"/>
      <c r="H155" s="160"/>
      <c r="I155" s="160"/>
      <c r="J155" s="160"/>
      <c r="K155" s="160"/>
      <c r="L155" s="160"/>
      <c r="M155" s="159" t="s">
        <v>931</v>
      </c>
      <c r="N155" s="160"/>
      <c r="O155" s="160"/>
      <c r="P155" s="160"/>
      <c r="Q155" s="160"/>
      <c r="R155" s="283" t="s">
        <v>214</v>
      </c>
      <c r="S155" s="156" t="s">
        <v>19</v>
      </c>
      <c r="T155" s="157">
        <v>8500</v>
      </c>
      <c r="U155" s="239">
        <v>3.6238938053097344E-2</v>
      </c>
      <c r="V155" s="225"/>
      <c r="W155" s="288">
        <v>308.03099999999995</v>
      </c>
      <c r="X155" s="289"/>
      <c r="Y155" s="258" t="s">
        <v>538</v>
      </c>
      <c r="Z155" s="240" t="s">
        <v>130</v>
      </c>
      <c r="AA155" s="48">
        <v>308.03099999999995</v>
      </c>
    </row>
    <row r="156" spans="1:27" s="48" customFormat="1" ht="18" customHeight="1">
      <c r="A156" s="159">
        <v>0</v>
      </c>
      <c r="B156" s="160"/>
      <c r="C156" s="160"/>
      <c r="D156" s="161"/>
      <c r="E156" s="265" t="s">
        <v>481</v>
      </c>
      <c r="F156" s="160"/>
      <c r="G156" s="160"/>
      <c r="H156" s="160"/>
      <c r="I156" s="160"/>
      <c r="J156" s="160"/>
      <c r="K156" s="160"/>
      <c r="L156" s="160"/>
      <c r="M156" s="159" t="s">
        <v>931</v>
      </c>
      <c r="N156" s="160"/>
      <c r="O156" s="160"/>
      <c r="P156" s="160"/>
      <c r="Q156" s="160"/>
      <c r="R156" s="283" t="s">
        <v>404</v>
      </c>
      <c r="S156" s="156" t="s">
        <v>19</v>
      </c>
      <c r="T156" s="157">
        <v>8000</v>
      </c>
      <c r="U156" s="239">
        <v>8.8141592920353978E-3</v>
      </c>
      <c r="V156" s="225"/>
      <c r="W156" s="288">
        <v>70.51400000000001</v>
      </c>
      <c r="X156" s="289"/>
      <c r="Y156" s="258" t="s">
        <v>538</v>
      </c>
      <c r="Z156" s="240" t="s">
        <v>130</v>
      </c>
      <c r="AA156" s="48">
        <v>70.51400000000001</v>
      </c>
    </row>
    <row r="157" spans="1:27" s="48" customFormat="1" ht="18" customHeight="1">
      <c r="A157" s="159">
        <v>0</v>
      </c>
      <c r="B157" s="160"/>
      <c r="C157" s="160"/>
      <c r="D157" s="161"/>
      <c r="E157" s="265" t="s">
        <v>792</v>
      </c>
      <c r="F157" s="160"/>
      <c r="G157" s="160"/>
      <c r="H157" s="160"/>
      <c r="I157" s="160"/>
      <c r="J157" s="160"/>
      <c r="K157" s="160"/>
      <c r="L157" s="160"/>
      <c r="M157" s="159" t="s">
        <v>931</v>
      </c>
      <c r="N157" s="160"/>
      <c r="O157" s="160"/>
      <c r="P157" s="160"/>
      <c r="Q157" s="160"/>
      <c r="R157" s="283" t="s">
        <v>570</v>
      </c>
      <c r="S157" s="156" t="s">
        <v>19</v>
      </c>
      <c r="T157" s="157">
        <v>7000</v>
      </c>
      <c r="U157" s="239">
        <v>1.7734513274336283E-2</v>
      </c>
      <c r="V157" s="225"/>
      <c r="W157" s="288">
        <v>124.14200000000001</v>
      </c>
      <c r="X157" s="289"/>
      <c r="Y157" s="258" t="s">
        <v>538</v>
      </c>
      <c r="Z157" s="240" t="s">
        <v>130</v>
      </c>
      <c r="AA157" s="48">
        <v>124.14200000000001</v>
      </c>
    </row>
    <row r="158" spans="1:27" s="48" customFormat="1" ht="18" customHeight="1">
      <c r="A158" s="159">
        <v>0</v>
      </c>
      <c r="B158" s="160"/>
      <c r="C158" s="160"/>
      <c r="D158" s="161"/>
      <c r="E158" s="265" t="s">
        <v>273</v>
      </c>
      <c r="F158" s="160"/>
      <c r="G158" s="160"/>
      <c r="H158" s="160"/>
      <c r="I158" s="160"/>
      <c r="J158" s="160"/>
      <c r="K158" s="160"/>
      <c r="L158" s="160"/>
      <c r="M158" s="159" t="s">
        <v>931</v>
      </c>
      <c r="N158" s="160"/>
      <c r="O158" s="160"/>
      <c r="P158" s="160"/>
      <c r="Q158" s="160"/>
      <c r="R158" s="283" t="s">
        <v>208</v>
      </c>
      <c r="S158" s="156" t="s">
        <v>19</v>
      </c>
      <c r="T158" s="157">
        <v>18000</v>
      </c>
      <c r="U158" s="239">
        <v>6.0398230088495576E-2</v>
      </c>
      <c r="V158" s="225"/>
      <c r="W158" s="288">
        <v>1087.1689999999999</v>
      </c>
      <c r="X158" s="289"/>
      <c r="Y158" s="258" t="s">
        <v>538</v>
      </c>
      <c r="Z158" s="240" t="s">
        <v>130</v>
      </c>
      <c r="AA158" s="48">
        <v>1087.1689999999999</v>
      </c>
    </row>
    <row r="159" spans="1:27" s="48" customFormat="1" ht="18" customHeight="1">
      <c r="A159" s="159">
        <v>0</v>
      </c>
      <c r="B159" s="160"/>
      <c r="C159" s="160"/>
      <c r="D159" s="161"/>
      <c r="E159" s="265" t="s">
        <v>793</v>
      </c>
      <c r="F159" s="160"/>
      <c r="G159" s="160"/>
      <c r="H159" s="160"/>
      <c r="I159" s="160"/>
      <c r="J159" s="160"/>
      <c r="K159" s="160"/>
      <c r="L159" s="160"/>
      <c r="M159" s="159" t="s">
        <v>931</v>
      </c>
      <c r="N159" s="160"/>
      <c r="O159" s="160"/>
      <c r="P159" s="160"/>
      <c r="Q159" s="160"/>
      <c r="R159" s="283" t="s">
        <v>566</v>
      </c>
      <c r="S159" s="156" t="s">
        <v>19</v>
      </c>
      <c r="T159" s="157">
        <v>7000</v>
      </c>
      <c r="U159" s="271">
        <v>5.4115044247787611E-2</v>
      </c>
      <c r="V159" s="272"/>
      <c r="W159" s="288">
        <v>378.80599999999998</v>
      </c>
      <c r="X159" s="289"/>
      <c r="Y159" s="273" t="s">
        <v>538</v>
      </c>
      <c r="Z159" s="240" t="s">
        <v>328</v>
      </c>
      <c r="AA159" s="48">
        <v>378.80599999999998</v>
      </c>
    </row>
    <row r="160" spans="1:27" s="48" customFormat="1" ht="18" customHeight="1">
      <c r="A160" s="159">
        <v>0</v>
      </c>
      <c r="B160" s="160"/>
      <c r="C160" s="160"/>
      <c r="D160" s="161"/>
      <c r="E160" s="265" t="s">
        <v>794</v>
      </c>
      <c r="F160" s="160"/>
      <c r="G160" s="160"/>
      <c r="H160" s="160"/>
      <c r="I160" s="160"/>
      <c r="J160" s="160"/>
      <c r="K160" s="160"/>
      <c r="L160" s="160"/>
      <c r="M160" s="159" t="s">
        <v>931</v>
      </c>
      <c r="N160" s="160"/>
      <c r="O160" s="160"/>
      <c r="P160" s="160"/>
      <c r="Q160" s="160"/>
      <c r="R160" s="283" t="s">
        <v>581</v>
      </c>
      <c r="S160" s="156" t="s">
        <v>19</v>
      </c>
      <c r="T160" s="157">
        <v>8000</v>
      </c>
      <c r="U160" s="271">
        <v>5.8274336283185839E-2</v>
      </c>
      <c r="V160" s="272"/>
      <c r="W160" s="288">
        <v>466.19499999999999</v>
      </c>
      <c r="X160" s="289"/>
      <c r="Y160" s="273" t="s">
        <v>538</v>
      </c>
      <c r="Z160" s="240" t="s">
        <v>130</v>
      </c>
      <c r="AA160" s="48">
        <v>466.19499999999999</v>
      </c>
    </row>
    <row r="161" spans="1:27" s="48" customFormat="1" ht="18" customHeight="1">
      <c r="A161" s="159">
        <v>0</v>
      </c>
      <c r="B161" s="160"/>
      <c r="C161" s="160"/>
      <c r="D161" s="161"/>
      <c r="E161" s="265" t="s">
        <v>795</v>
      </c>
      <c r="F161" s="160"/>
      <c r="G161" s="160"/>
      <c r="H161" s="160"/>
      <c r="I161" s="160"/>
      <c r="J161" s="160"/>
      <c r="K161" s="160"/>
      <c r="L161" s="160"/>
      <c r="M161" s="159" t="s">
        <v>931</v>
      </c>
      <c r="N161" s="160"/>
      <c r="O161" s="160"/>
      <c r="P161" s="160"/>
      <c r="Q161" s="160"/>
      <c r="R161" s="283" t="s">
        <v>551</v>
      </c>
      <c r="S161" s="156" t="s">
        <v>19</v>
      </c>
      <c r="T161" s="157">
        <v>21000</v>
      </c>
      <c r="U161" s="271">
        <v>7.3451327433628321E-3</v>
      </c>
      <c r="V161" s="272"/>
      <c r="W161" s="288">
        <v>154.24800000000002</v>
      </c>
      <c r="X161" s="289"/>
      <c r="Y161" s="273" t="s">
        <v>538</v>
      </c>
      <c r="Z161" s="240" t="s">
        <v>130</v>
      </c>
      <c r="AA161" s="48">
        <v>154.24800000000002</v>
      </c>
    </row>
    <row r="162" spans="1:27" s="48" customFormat="1" ht="18" customHeight="1">
      <c r="A162" s="159">
        <v>0</v>
      </c>
      <c r="B162" s="160"/>
      <c r="C162" s="160"/>
      <c r="D162" s="161"/>
      <c r="E162" s="265" t="s">
        <v>796</v>
      </c>
      <c r="F162" s="160"/>
      <c r="G162" s="160"/>
      <c r="H162" s="160"/>
      <c r="I162" s="160"/>
      <c r="J162" s="160"/>
      <c r="K162" s="160"/>
      <c r="L162" s="160"/>
      <c r="M162" s="159" t="s">
        <v>931</v>
      </c>
      <c r="N162" s="160"/>
      <c r="O162" s="160"/>
      <c r="P162" s="160"/>
      <c r="Q162" s="160"/>
      <c r="R162" s="283" t="s">
        <v>707</v>
      </c>
      <c r="S162" s="156" t="s">
        <v>19</v>
      </c>
      <c r="T162" s="157">
        <v>8000</v>
      </c>
      <c r="U162" s="271">
        <v>9.2920353982300884E-3</v>
      </c>
      <c r="V162" s="272"/>
      <c r="W162" s="288">
        <v>74.337000000000003</v>
      </c>
      <c r="X162" s="289"/>
      <c r="Y162" s="273" t="s">
        <v>538</v>
      </c>
      <c r="Z162" s="240" t="s">
        <v>328</v>
      </c>
      <c r="AA162" s="48">
        <v>74.337000000000003</v>
      </c>
    </row>
    <row r="163" spans="1:27" s="48" customFormat="1" ht="18" customHeight="1">
      <c r="A163" s="159">
        <v>0</v>
      </c>
      <c r="B163" s="160"/>
      <c r="C163" s="160"/>
      <c r="D163" s="161"/>
      <c r="E163" s="265" t="s">
        <v>797</v>
      </c>
      <c r="F163" s="160"/>
      <c r="G163" s="160"/>
      <c r="H163" s="160"/>
      <c r="I163" s="160"/>
      <c r="J163" s="160"/>
      <c r="K163" s="160"/>
      <c r="L163" s="160"/>
      <c r="M163" s="159" t="s">
        <v>931</v>
      </c>
      <c r="N163" s="160"/>
      <c r="O163" s="160"/>
      <c r="P163" s="160"/>
      <c r="Q163" s="160"/>
      <c r="R163" s="283" t="s">
        <v>582</v>
      </c>
      <c r="S163" s="156" t="s">
        <v>19</v>
      </c>
      <c r="T163" s="157">
        <v>4000</v>
      </c>
      <c r="U163" s="271">
        <v>9.5752212389380535E-3</v>
      </c>
      <c r="V163" s="272"/>
      <c r="W163" s="288">
        <v>38.300999999999995</v>
      </c>
      <c r="X163" s="289"/>
      <c r="Y163" s="273" t="s">
        <v>538</v>
      </c>
      <c r="Z163" s="240" t="s">
        <v>130</v>
      </c>
      <c r="AA163" s="48">
        <v>38.300999999999995</v>
      </c>
    </row>
    <row r="164" spans="1:27" s="48" customFormat="1" ht="18" customHeight="1">
      <c r="A164" s="159">
        <v>0</v>
      </c>
      <c r="B164" s="160"/>
      <c r="C164" s="160"/>
      <c r="D164" s="161"/>
      <c r="E164" s="265" t="s">
        <v>486</v>
      </c>
      <c r="F164" s="160"/>
      <c r="G164" s="160"/>
      <c r="H164" s="160"/>
      <c r="I164" s="160"/>
      <c r="J164" s="160"/>
      <c r="K164" s="160"/>
      <c r="L164" s="160"/>
      <c r="M164" s="159" t="s">
        <v>931</v>
      </c>
      <c r="N164" s="160"/>
      <c r="O164" s="160"/>
      <c r="P164" s="160"/>
      <c r="Q164" s="160"/>
      <c r="R164" s="283" t="s">
        <v>409</v>
      </c>
      <c r="S164" s="156" t="s">
        <v>19</v>
      </c>
      <c r="T164" s="157">
        <v>7000</v>
      </c>
      <c r="U164" s="271">
        <v>9.8495575221238946E-3</v>
      </c>
      <c r="V164" s="272"/>
      <c r="W164" s="288">
        <v>68.947000000000003</v>
      </c>
      <c r="X164" s="289"/>
      <c r="Y164" s="273" t="s">
        <v>538</v>
      </c>
      <c r="Z164" s="240" t="s">
        <v>130</v>
      </c>
      <c r="AA164" s="48">
        <v>68.947000000000003</v>
      </c>
    </row>
    <row r="165" spans="1:27" s="48" customFormat="1" ht="18" customHeight="1">
      <c r="A165" s="159">
        <v>0</v>
      </c>
      <c r="B165" s="160"/>
      <c r="C165" s="160"/>
      <c r="D165" s="161"/>
      <c r="E165" s="265" t="s">
        <v>283</v>
      </c>
      <c r="F165" s="160"/>
      <c r="G165" s="160"/>
      <c r="H165" s="160"/>
      <c r="I165" s="160"/>
      <c r="J165" s="160"/>
      <c r="K165" s="160"/>
      <c r="L165" s="160"/>
      <c r="M165" s="159" t="s">
        <v>931</v>
      </c>
      <c r="N165" s="160"/>
      <c r="O165" s="160"/>
      <c r="P165" s="160"/>
      <c r="Q165" s="160"/>
      <c r="R165" s="283" t="s">
        <v>218</v>
      </c>
      <c r="S165" s="156" t="s">
        <v>19</v>
      </c>
      <c r="T165" s="157">
        <v>6000</v>
      </c>
      <c r="U165" s="271">
        <v>1.1061946902654867E-2</v>
      </c>
      <c r="V165" s="272"/>
      <c r="W165" s="288">
        <v>66.372</v>
      </c>
      <c r="X165" s="289"/>
      <c r="Y165" s="273" t="s">
        <v>538</v>
      </c>
      <c r="Z165" s="240" t="s">
        <v>130</v>
      </c>
      <c r="AA165" s="48">
        <v>66.372</v>
      </c>
    </row>
    <row r="166" spans="1:27" s="48" customFormat="1" ht="18" customHeight="1">
      <c r="A166" s="159">
        <v>0</v>
      </c>
      <c r="B166" s="160"/>
      <c r="C166" s="160"/>
      <c r="D166" s="161"/>
      <c r="E166" s="265" t="s">
        <v>489</v>
      </c>
      <c r="F166" s="160"/>
      <c r="G166" s="160"/>
      <c r="H166" s="160"/>
      <c r="I166" s="160"/>
      <c r="J166" s="160"/>
      <c r="K166" s="160"/>
      <c r="L166" s="160"/>
      <c r="M166" s="159" t="s">
        <v>931</v>
      </c>
      <c r="N166" s="160"/>
      <c r="O166" s="160"/>
      <c r="P166" s="160"/>
      <c r="Q166" s="160"/>
      <c r="R166" s="283" t="s">
        <v>412</v>
      </c>
      <c r="S166" s="156" t="s">
        <v>19</v>
      </c>
      <c r="T166" s="157">
        <v>8000</v>
      </c>
      <c r="U166" s="271">
        <v>1.3008849557522123E-2</v>
      </c>
      <c r="V166" s="272"/>
      <c r="W166" s="288">
        <v>104.071</v>
      </c>
      <c r="X166" s="289"/>
      <c r="Y166" s="273" t="s">
        <v>538</v>
      </c>
      <c r="Z166" s="240" t="s">
        <v>130</v>
      </c>
      <c r="AA166" s="48">
        <v>104.071</v>
      </c>
    </row>
    <row r="167" spans="1:27" s="48" customFormat="1" ht="18" customHeight="1">
      <c r="A167" s="159">
        <v>0</v>
      </c>
      <c r="B167" s="160"/>
      <c r="C167" s="160"/>
      <c r="D167" s="161"/>
      <c r="E167" s="265" t="s">
        <v>798</v>
      </c>
      <c r="F167" s="160"/>
      <c r="G167" s="160"/>
      <c r="H167" s="160"/>
      <c r="I167" s="160"/>
      <c r="J167" s="160"/>
      <c r="K167" s="160"/>
      <c r="L167" s="160"/>
      <c r="M167" s="159" t="s">
        <v>931</v>
      </c>
      <c r="N167" s="160"/>
      <c r="O167" s="160"/>
      <c r="P167" s="160"/>
      <c r="Q167" s="160"/>
      <c r="R167" s="283" t="s">
        <v>564</v>
      </c>
      <c r="S167" s="156" t="s">
        <v>19</v>
      </c>
      <c r="T167" s="157">
        <v>3000</v>
      </c>
      <c r="U167" s="271">
        <v>3.6796460176991147E-2</v>
      </c>
      <c r="V167" s="272"/>
      <c r="W167" s="288">
        <v>110.39</v>
      </c>
      <c r="X167" s="289"/>
      <c r="Y167" s="273" t="s">
        <v>538</v>
      </c>
      <c r="Z167" s="240" t="s">
        <v>328</v>
      </c>
      <c r="AA167" s="48">
        <v>110.39</v>
      </c>
    </row>
    <row r="168" spans="1:27" s="48" customFormat="1" ht="18" customHeight="1">
      <c r="A168" s="159">
        <v>0</v>
      </c>
      <c r="B168" s="160"/>
      <c r="C168" s="160"/>
      <c r="D168" s="161"/>
      <c r="E168" s="265" t="s">
        <v>799</v>
      </c>
      <c r="F168" s="160"/>
      <c r="G168" s="160"/>
      <c r="H168" s="160"/>
      <c r="I168" s="160"/>
      <c r="J168" s="160"/>
      <c r="K168" s="160"/>
      <c r="L168" s="160"/>
      <c r="M168" s="159" t="s">
        <v>931</v>
      </c>
      <c r="N168" s="160"/>
      <c r="O168" s="160"/>
      <c r="P168" s="160"/>
      <c r="Q168" s="160"/>
      <c r="R168" s="283" t="s">
        <v>562</v>
      </c>
      <c r="S168" s="156" t="s">
        <v>19</v>
      </c>
      <c r="T168" s="157">
        <v>3000</v>
      </c>
      <c r="U168" s="271">
        <v>4.4973451327433626E-2</v>
      </c>
      <c r="V168" s="272"/>
      <c r="W168" s="288">
        <v>134.92099999999999</v>
      </c>
      <c r="X168" s="289"/>
      <c r="Y168" s="273" t="s">
        <v>538</v>
      </c>
      <c r="Z168" s="240" t="s">
        <v>328</v>
      </c>
      <c r="AA168" s="48">
        <v>134.92099999999999</v>
      </c>
    </row>
    <row r="169" spans="1:27" s="48" customFormat="1" ht="18" customHeight="1">
      <c r="A169" s="159">
        <v>0</v>
      </c>
      <c r="B169" s="160"/>
      <c r="C169" s="160"/>
      <c r="D169" s="161"/>
      <c r="E169" s="265" t="s">
        <v>800</v>
      </c>
      <c r="F169" s="160"/>
      <c r="G169" s="160"/>
      <c r="H169" s="160"/>
      <c r="I169" s="160"/>
      <c r="J169" s="160"/>
      <c r="K169" s="160"/>
      <c r="L169" s="160"/>
      <c r="M169" s="159" t="s">
        <v>931</v>
      </c>
      <c r="N169" s="160"/>
      <c r="O169" s="160"/>
      <c r="P169" s="160"/>
      <c r="Q169" s="160"/>
      <c r="R169" s="283" t="s">
        <v>702</v>
      </c>
      <c r="S169" s="156" t="s">
        <v>19</v>
      </c>
      <c r="T169" s="157">
        <v>2000</v>
      </c>
      <c r="U169" s="271">
        <v>4.2000000000000003E-2</v>
      </c>
      <c r="V169" s="272"/>
      <c r="W169" s="288">
        <v>84</v>
      </c>
      <c r="X169" s="289"/>
      <c r="Y169" s="273" t="s">
        <v>538</v>
      </c>
      <c r="Z169" s="240" t="s">
        <v>328</v>
      </c>
      <c r="AA169" s="48">
        <v>84</v>
      </c>
    </row>
    <row r="170" spans="1:27" s="48" customFormat="1" ht="18" customHeight="1">
      <c r="A170" s="159">
        <v>0</v>
      </c>
      <c r="B170" s="160"/>
      <c r="C170" s="160"/>
      <c r="D170" s="161"/>
      <c r="E170" s="265" t="s">
        <v>801</v>
      </c>
      <c r="F170" s="160"/>
      <c r="G170" s="160"/>
      <c r="H170" s="160"/>
      <c r="I170" s="160"/>
      <c r="J170" s="160"/>
      <c r="K170" s="160"/>
      <c r="L170" s="160"/>
      <c r="M170" s="159" t="s">
        <v>931</v>
      </c>
      <c r="N170" s="160"/>
      <c r="O170" s="160"/>
      <c r="P170" s="160"/>
      <c r="Q170" s="160"/>
      <c r="R170" s="283" t="s">
        <v>574</v>
      </c>
      <c r="S170" s="156" t="s">
        <v>19</v>
      </c>
      <c r="T170" s="157">
        <v>6000</v>
      </c>
      <c r="U170" s="271">
        <v>1.7283185840707965E-2</v>
      </c>
      <c r="V170" s="272"/>
      <c r="W170" s="288">
        <v>103.7</v>
      </c>
      <c r="X170" s="289"/>
      <c r="Y170" s="273" t="s">
        <v>538</v>
      </c>
      <c r="Z170" s="240" t="s">
        <v>130</v>
      </c>
      <c r="AA170" s="48">
        <v>103.7</v>
      </c>
    </row>
    <row r="171" spans="1:27" s="48" customFormat="1" ht="18" customHeight="1">
      <c r="A171" s="159">
        <v>0</v>
      </c>
      <c r="B171" s="160"/>
      <c r="C171" s="160"/>
      <c r="D171" s="161"/>
      <c r="E171" s="265" t="s">
        <v>802</v>
      </c>
      <c r="F171" s="160"/>
      <c r="G171" s="160"/>
      <c r="H171" s="160"/>
      <c r="I171" s="160"/>
      <c r="J171" s="160"/>
      <c r="K171" s="160"/>
      <c r="L171" s="160"/>
      <c r="M171" s="159" t="s">
        <v>931</v>
      </c>
      <c r="N171" s="160"/>
      <c r="O171" s="160"/>
      <c r="P171" s="160"/>
      <c r="Q171" s="160"/>
      <c r="R171" s="283" t="s">
        <v>576</v>
      </c>
      <c r="S171" s="156" t="s">
        <v>19</v>
      </c>
      <c r="T171" s="157">
        <v>10000</v>
      </c>
      <c r="U171" s="271">
        <v>2.1469026548672568E-2</v>
      </c>
      <c r="V171" s="272"/>
      <c r="W171" s="288">
        <v>214.691</v>
      </c>
      <c r="X171" s="289"/>
      <c r="Y171" s="273" t="s">
        <v>538</v>
      </c>
      <c r="Z171" s="240" t="s">
        <v>130</v>
      </c>
      <c r="AA171" s="48">
        <v>214.691</v>
      </c>
    </row>
    <row r="172" spans="1:27" s="48" customFormat="1" ht="18" customHeight="1">
      <c r="A172" s="159">
        <v>0</v>
      </c>
      <c r="B172" s="160"/>
      <c r="C172" s="160"/>
      <c r="D172" s="161"/>
      <c r="E172" s="265" t="s">
        <v>478</v>
      </c>
      <c r="F172" s="160"/>
      <c r="G172" s="160"/>
      <c r="H172" s="160"/>
      <c r="I172" s="160"/>
      <c r="J172" s="160"/>
      <c r="K172" s="160"/>
      <c r="L172" s="160"/>
      <c r="M172" s="159" t="s">
        <v>931</v>
      </c>
      <c r="N172" s="160"/>
      <c r="O172" s="160"/>
      <c r="P172" s="160"/>
      <c r="Q172" s="160"/>
      <c r="R172" s="283" t="s">
        <v>401</v>
      </c>
      <c r="S172" s="156" t="s">
        <v>19</v>
      </c>
      <c r="T172" s="157">
        <v>42000</v>
      </c>
      <c r="U172" s="271">
        <v>9.4778761061946916E-3</v>
      </c>
      <c r="V172" s="272"/>
      <c r="W172" s="288">
        <v>398.07099999999997</v>
      </c>
      <c r="X172" s="289"/>
      <c r="Y172" s="273" t="s">
        <v>538</v>
      </c>
      <c r="Z172" s="240" t="s">
        <v>130</v>
      </c>
      <c r="AA172" s="48">
        <v>398.07099999999997</v>
      </c>
    </row>
    <row r="173" spans="1:27" s="48" customFormat="1" ht="18" customHeight="1">
      <c r="A173" s="159">
        <v>0</v>
      </c>
      <c r="B173" s="160"/>
      <c r="C173" s="160"/>
      <c r="D173" s="161"/>
      <c r="E173" s="265" t="s">
        <v>477</v>
      </c>
      <c r="F173" s="160"/>
      <c r="G173" s="160"/>
      <c r="H173" s="160"/>
      <c r="I173" s="160"/>
      <c r="J173" s="160"/>
      <c r="K173" s="160"/>
      <c r="L173" s="160"/>
      <c r="M173" s="159" t="s">
        <v>931</v>
      </c>
      <c r="N173" s="160"/>
      <c r="O173" s="160"/>
      <c r="P173" s="160"/>
      <c r="Q173" s="160"/>
      <c r="R173" s="283" t="s">
        <v>400</v>
      </c>
      <c r="S173" s="156" t="s">
        <v>19</v>
      </c>
      <c r="T173" s="157">
        <v>60000</v>
      </c>
      <c r="U173" s="271">
        <v>9.4778761061946916E-3</v>
      </c>
      <c r="V173" s="272"/>
      <c r="W173" s="288">
        <v>568.673</v>
      </c>
      <c r="X173" s="289"/>
      <c r="Y173" s="273" t="s">
        <v>538</v>
      </c>
      <c r="Z173" s="240" t="s">
        <v>130</v>
      </c>
      <c r="AA173" s="48">
        <v>568.673</v>
      </c>
    </row>
    <row r="174" spans="1:27" s="48" customFormat="1" ht="18" customHeight="1">
      <c r="A174" s="159">
        <v>0</v>
      </c>
      <c r="B174" s="160"/>
      <c r="C174" s="160"/>
      <c r="D174" s="161"/>
      <c r="E174" s="265" t="s">
        <v>483</v>
      </c>
      <c r="F174" s="160"/>
      <c r="G174" s="160"/>
      <c r="H174" s="160"/>
      <c r="I174" s="160"/>
      <c r="J174" s="160"/>
      <c r="K174" s="160"/>
      <c r="L174" s="160"/>
      <c r="M174" s="159" t="s">
        <v>931</v>
      </c>
      <c r="N174" s="160"/>
      <c r="O174" s="160"/>
      <c r="P174" s="160"/>
      <c r="Q174" s="160"/>
      <c r="R174" s="283" t="s">
        <v>406</v>
      </c>
      <c r="S174" s="156" t="s">
        <v>19</v>
      </c>
      <c r="T174" s="157">
        <v>130000</v>
      </c>
      <c r="U174" s="271">
        <v>1.2699115044247788E-2</v>
      </c>
      <c r="V174" s="272"/>
      <c r="W174" s="288">
        <v>1650.885</v>
      </c>
      <c r="X174" s="289"/>
      <c r="Y174" s="273" t="s">
        <v>538</v>
      </c>
      <c r="Z174" s="240" t="s">
        <v>130</v>
      </c>
      <c r="AA174" s="48">
        <v>1650.885</v>
      </c>
    </row>
    <row r="175" spans="1:27" s="48" customFormat="1" ht="18" customHeight="1">
      <c r="A175" s="159">
        <v>0</v>
      </c>
      <c r="B175" s="160"/>
      <c r="C175" s="160"/>
      <c r="D175" s="161"/>
      <c r="E175" s="265" t="s">
        <v>482</v>
      </c>
      <c r="F175" s="160"/>
      <c r="G175" s="160"/>
      <c r="H175" s="160"/>
      <c r="I175" s="160"/>
      <c r="J175" s="160"/>
      <c r="K175" s="160"/>
      <c r="L175" s="160"/>
      <c r="M175" s="159" t="s">
        <v>931</v>
      </c>
      <c r="N175" s="160"/>
      <c r="O175" s="160"/>
      <c r="P175" s="160"/>
      <c r="Q175" s="160"/>
      <c r="R175" s="283" t="s">
        <v>405</v>
      </c>
      <c r="S175" s="156" t="s">
        <v>19</v>
      </c>
      <c r="T175" s="157">
        <v>50000</v>
      </c>
      <c r="U175" s="271">
        <v>1.2327433628318583E-2</v>
      </c>
      <c r="V175" s="272"/>
      <c r="W175" s="288">
        <v>616.37199999999996</v>
      </c>
      <c r="X175" s="289"/>
      <c r="Y175" s="273" t="s">
        <v>538</v>
      </c>
      <c r="Z175" s="240" t="s">
        <v>130</v>
      </c>
      <c r="AA175" s="48">
        <v>616.37199999999996</v>
      </c>
    </row>
    <row r="176" spans="1:27" s="48" customFormat="1" ht="18" customHeight="1">
      <c r="A176" s="159">
        <v>0</v>
      </c>
      <c r="B176" s="160"/>
      <c r="C176" s="160"/>
      <c r="D176" s="161"/>
      <c r="E176" s="265" t="s">
        <v>803</v>
      </c>
      <c r="F176" s="160"/>
      <c r="G176" s="160"/>
      <c r="H176" s="160"/>
      <c r="I176" s="160"/>
      <c r="J176" s="160"/>
      <c r="K176" s="160"/>
      <c r="L176" s="160"/>
      <c r="M176" s="159" t="s">
        <v>931</v>
      </c>
      <c r="N176" s="160"/>
      <c r="O176" s="160"/>
      <c r="P176" s="160"/>
      <c r="Q176" s="160"/>
      <c r="R176" s="283" t="s">
        <v>727</v>
      </c>
      <c r="S176" s="156" t="s">
        <v>19</v>
      </c>
      <c r="T176" s="157">
        <v>35000</v>
      </c>
      <c r="U176" s="271">
        <v>8.8761061946902656E-3</v>
      </c>
      <c r="V176" s="272"/>
      <c r="W176" s="288">
        <v>310.66399999999999</v>
      </c>
      <c r="X176" s="289"/>
      <c r="Y176" s="273" t="s">
        <v>538</v>
      </c>
      <c r="Z176" s="240" t="s">
        <v>328</v>
      </c>
      <c r="AA176" s="48">
        <v>310.66399999999999</v>
      </c>
    </row>
    <row r="177" spans="1:27" s="48" customFormat="1" ht="18" customHeight="1">
      <c r="A177" s="159">
        <v>0</v>
      </c>
      <c r="B177" s="160"/>
      <c r="C177" s="160"/>
      <c r="D177" s="161"/>
      <c r="E177" s="265" t="s">
        <v>484</v>
      </c>
      <c r="F177" s="160"/>
      <c r="G177" s="160"/>
      <c r="H177" s="160"/>
      <c r="I177" s="160"/>
      <c r="J177" s="160"/>
      <c r="K177" s="160"/>
      <c r="L177" s="160"/>
      <c r="M177" s="159" t="s">
        <v>931</v>
      </c>
      <c r="N177" s="160"/>
      <c r="O177" s="160"/>
      <c r="P177" s="160"/>
      <c r="Q177" s="160"/>
      <c r="R177" s="283" t="s">
        <v>407</v>
      </c>
      <c r="S177" s="156" t="s">
        <v>19</v>
      </c>
      <c r="T177" s="157">
        <v>8000</v>
      </c>
      <c r="U177" s="271">
        <v>8.5309734513274345E-3</v>
      </c>
      <c r="V177" s="272"/>
      <c r="W177" s="288">
        <v>68.248000000000005</v>
      </c>
      <c r="X177" s="289"/>
      <c r="Y177" s="273" t="s">
        <v>538</v>
      </c>
      <c r="Z177" s="240" t="s">
        <v>130</v>
      </c>
      <c r="AA177" s="48">
        <v>68.248000000000005</v>
      </c>
    </row>
    <row r="178" spans="1:27" s="48" customFormat="1" ht="18" customHeight="1">
      <c r="A178" s="159">
        <v>0</v>
      </c>
      <c r="B178" s="160"/>
      <c r="C178" s="160"/>
      <c r="D178" s="161"/>
      <c r="E178" s="265" t="s">
        <v>804</v>
      </c>
      <c r="F178" s="160"/>
      <c r="G178" s="160"/>
      <c r="H178" s="160"/>
      <c r="I178" s="160"/>
      <c r="J178" s="160"/>
      <c r="K178" s="160"/>
      <c r="L178" s="160"/>
      <c r="M178" s="159" t="s">
        <v>931</v>
      </c>
      <c r="N178" s="160"/>
      <c r="O178" s="160"/>
      <c r="P178" s="160"/>
      <c r="Q178" s="160"/>
      <c r="R178" s="283" t="s">
        <v>723</v>
      </c>
      <c r="S178" s="156" t="s">
        <v>19</v>
      </c>
      <c r="T178" s="157">
        <v>70000</v>
      </c>
      <c r="U178" s="271">
        <v>8.8761061946902656E-3</v>
      </c>
      <c r="V178" s="272"/>
      <c r="W178" s="288">
        <v>621.32799999999997</v>
      </c>
      <c r="X178" s="289"/>
      <c r="Y178" s="273" t="s">
        <v>538</v>
      </c>
      <c r="Z178" s="240" t="s">
        <v>724</v>
      </c>
      <c r="AA178" s="48">
        <v>621.32799999999997</v>
      </c>
    </row>
    <row r="179" spans="1:27" s="48" customFormat="1" ht="18" customHeight="1">
      <c r="A179" s="159">
        <v>0</v>
      </c>
      <c r="B179" s="160"/>
      <c r="C179" s="160"/>
      <c r="D179" s="161"/>
      <c r="E179" s="265" t="s">
        <v>278</v>
      </c>
      <c r="F179" s="160"/>
      <c r="G179" s="160"/>
      <c r="H179" s="160"/>
      <c r="I179" s="160"/>
      <c r="J179" s="160"/>
      <c r="K179" s="160"/>
      <c r="L179" s="160"/>
      <c r="M179" s="159" t="s">
        <v>931</v>
      </c>
      <c r="N179" s="160"/>
      <c r="O179" s="160"/>
      <c r="P179" s="160"/>
      <c r="Q179" s="160"/>
      <c r="R179" s="283" t="s">
        <v>213</v>
      </c>
      <c r="S179" s="156" t="s">
        <v>19</v>
      </c>
      <c r="T179" s="157">
        <v>48000</v>
      </c>
      <c r="U179" s="271">
        <v>2.5088495575221241E-2</v>
      </c>
      <c r="V179" s="272"/>
      <c r="W179" s="288">
        <v>1204.248</v>
      </c>
      <c r="X179" s="289"/>
      <c r="Y179" s="273" t="s">
        <v>538</v>
      </c>
      <c r="Z179" s="240" t="s">
        <v>130</v>
      </c>
      <c r="AA179" s="48">
        <v>1204.248</v>
      </c>
    </row>
    <row r="180" spans="1:27" s="48" customFormat="1" ht="18" customHeight="1">
      <c r="A180" s="159">
        <v>0</v>
      </c>
      <c r="B180" s="160"/>
      <c r="C180" s="160"/>
      <c r="D180" s="161"/>
      <c r="E180" s="265" t="s">
        <v>805</v>
      </c>
      <c r="F180" s="160"/>
      <c r="G180" s="160"/>
      <c r="H180" s="160"/>
      <c r="I180" s="160"/>
      <c r="J180" s="160"/>
      <c r="K180" s="160"/>
      <c r="L180" s="160"/>
      <c r="M180" s="159" t="s">
        <v>931</v>
      </c>
      <c r="N180" s="160"/>
      <c r="O180" s="160"/>
      <c r="P180" s="160"/>
      <c r="Q180" s="160"/>
      <c r="R180" s="283" t="s">
        <v>720</v>
      </c>
      <c r="S180" s="156" t="s">
        <v>19</v>
      </c>
      <c r="T180" s="157">
        <v>20000</v>
      </c>
      <c r="U180" s="271">
        <v>8.8761061946902656E-3</v>
      </c>
      <c r="V180" s="272"/>
      <c r="W180" s="288">
        <v>177.523</v>
      </c>
      <c r="X180" s="289"/>
      <c r="Y180" s="273" t="s">
        <v>538</v>
      </c>
      <c r="Z180" s="240" t="s">
        <v>328</v>
      </c>
      <c r="AA180" s="48">
        <v>177.523</v>
      </c>
    </row>
    <row r="181" spans="1:27" s="48" customFormat="1" ht="18" customHeight="1">
      <c r="A181" s="159">
        <v>0</v>
      </c>
      <c r="B181" s="160"/>
      <c r="C181" s="160"/>
      <c r="D181" s="161"/>
      <c r="E181" s="265" t="s">
        <v>480</v>
      </c>
      <c r="F181" s="160"/>
      <c r="G181" s="160"/>
      <c r="H181" s="160"/>
      <c r="I181" s="160"/>
      <c r="J181" s="160"/>
      <c r="K181" s="160"/>
      <c r="L181" s="160"/>
      <c r="M181" s="159" t="s">
        <v>931</v>
      </c>
      <c r="N181" s="160"/>
      <c r="O181" s="160"/>
      <c r="P181" s="160"/>
      <c r="Q181" s="160"/>
      <c r="R181" s="283" t="s">
        <v>403</v>
      </c>
      <c r="S181" s="156" t="s">
        <v>19</v>
      </c>
      <c r="T181" s="157">
        <v>8000</v>
      </c>
      <c r="U181" s="271">
        <v>8.8141592920353978E-3</v>
      </c>
      <c r="V181" s="272"/>
      <c r="W181" s="288">
        <v>70.51400000000001</v>
      </c>
      <c r="X181" s="289"/>
      <c r="Y181" s="273" t="s">
        <v>538</v>
      </c>
      <c r="Z181" s="240" t="s">
        <v>130</v>
      </c>
      <c r="AA181" s="48">
        <v>70.51400000000001</v>
      </c>
    </row>
    <row r="182" spans="1:27" s="48" customFormat="1" ht="18" customHeight="1">
      <c r="A182" s="159">
        <v>0</v>
      </c>
      <c r="B182" s="160"/>
      <c r="C182" s="160"/>
      <c r="D182" s="161"/>
      <c r="E182" s="265" t="s">
        <v>277</v>
      </c>
      <c r="F182" s="160"/>
      <c r="G182" s="160"/>
      <c r="H182" s="160"/>
      <c r="I182" s="160"/>
      <c r="J182" s="160"/>
      <c r="K182" s="160"/>
      <c r="L182" s="160"/>
      <c r="M182" s="159" t="s">
        <v>931</v>
      </c>
      <c r="N182" s="160"/>
      <c r="O182" s="160"/>
      <c r="P182" s="160"/>
      <c r="Q182" s="160"/>
      <c r="R182" s="283" t="s">
        <v>212</v>
      </c>
      <c r="S182" s="156" t="s">
        <v>19</v>
      </c>
      <c r="T182" s="157">
        <v>24500</v>
      </c>
      <c r="U182" s="271">
        <v>2.0442477876106195E-2</v>
      </c>
      <c r="V182" s="272"/>
      <c r="W182" s="288">
        <v>500.84099999999995</v>
      </c>
      <c r="X182" s="289"/>
      <c r="Y182" s="273" t="s">
        <v>538</v>
      </c>
      <c r="Z182" s="240" t="s">
        <v>130</v>
      </c>
      <c r="AA182" s="48">
        <v>500.84099999999995</v>
      </c>
    </row>
    <row r="183" spans="1:27" s="48" customFormat="1" ht="18" customHeight="1">
      <c r="A183" s="159">
        <v>0</v>
      </c>
      <c r="B183" s="160"/>
      <c r="C183" s="160"/>
      <c r="D183" s="161"/>
      <c r="E183" s="265" t="s">
        <v>806</v>
      </c>
      <c r="F183" s="160"/>
      <c r="G183" s="160"/>
      <c r="H183" s="160"/>
      <c r="I183" s="160"/>
      <c r="J183" s="160"/>
      <c r="K183" s="160"/>
      <c r="L183" s="160"/>
      <c r="M183" s="159" t="s">
        <v>931</v>
      </c>
      <c r="N183" s="160"/>
      <c r="O183" s="160"/>
      <c r="P183" s="160"/>
      <c r="Q183" s="160"/>
      <c r="R183" s="283" t="s">
        <v>568</v>
      </c>
      <c r="S183" s="156" t="s">
        <v>19</v>
      </c>
      <c r="T183" s="157">
        <v>21000</v>
      </c>
      <c r="U183" s="271">
        <v>2.2371681415929205E-2</v>
      </c>
      <c r="V183" s="272"/>
      <c r="W183" s="288">
        <v>469.80599999999998</v>
      </c>
      <c r="X183" s="289"/>
      <c r="Y183" s="273" t="s">
        <v>538</v>
      </c>
      <c r="Z183" s="240" t="s">
        <v>130</v>
      </c>
      <c r="AA183" s="48">
        <v>469.80599999999998</v>
      </c>
    </row>
    <row r="184" spans="1:27" s="48" customFormat="1" ht="18" customHeight="1">
      <c r="A184" s="159">
        <v>0</v>
      </c>
      <c r="B184" s="160"/>
      <c r="C184" s="160"/>
      <c r="D184" s="161"/>
      <c r="E184" s="265" t="s">
        <v>280</v>
      </c>
      <c r="F184" s="160"/>
      <c r="G184" s="160"/>
      <c r="H184" s="160"/>
      <c r="I184" s="160"/>
      <c r="J184" s="160"/>
      <c r="K184" s="160"/>
      <c r="L184" s="160"/>
      <c r="M184" s="159" t="s">
        <v>931</v>
      </c>
      <c r="N184" s="160"/>
      <c r="O184" s="160"/>
      <c r="P184" s="160"/>
      <c r="Q184" s="160"/>
      <c r="R184" s="283" t="s">
        <v>215</v>
      </c>
      <c r="S184" s="156" t="s">
        <v>19</v>
      </c>
      <c r="T184" s="157">
        <v>50000</v>
      </c>
      <c r="U184" s="271">
        <v>2.5088495575221241E-2</v>
      </c>
      <c r="V184" s="272"/>
      <c r="W184" s="288">
        <v>1254.425</v>
      </c>
      <c r="X184" s="289"/>
      <c r="Y184" s="273" t="s">
        <v>538</v>
      </c>
      <c r="Z184" s="240" t="s">
        <v>130</v>
      </c>
      <c r="AA184" s="48">
        <v>1254.425</v>
      </c>
    </row>
    <row r="185" spans="1:27" s="48" customFormat="1" ht="18" customHeight="1">
      <c r="A185" s="159">
        <v>0</v>
      </c>
      <c r="B185" s="160"/>
      <c r="C185" s="160"/>
      <c r="D185" s="161"/>
      <c r="E185" s="265" t="s">
        <v>807</v>
      </c>
      <c r="F185" s="160"/>
      <c r="G185" s="160"/>
      <c r="H185" s="160"/>
      <c r="I185" s="160"/>
      <c r="J185" s="160"/>
      <c r="K185" s="160"/>
      <c r="L185" s="160"/>
      <c r="M185" s="159" t="s">
        <v>931</v>
      </c>
      <c r="N185" s="160"/>
      <c r="O185" s="160"/>
      <c r="P185" s="160"/>
      <c r="Q185" s="160"/>
      <c r="R185" s="283" t="s">
        <v>706</v>
      </c>
      <c r="S185" s="156" t="s">
        <v>19</v>
      </c>
      <c r="T185" s="157">
        <v>780</v>
      </c>
      <c r="U185" s="271">
        <v>0.39955752212389378</v>
      </c>
      <c r="V185" s="272"/>
      <c r="W185" s="288">
        <v>311.65499999999997</v>
      </c>
      <c r="X185" s="289"/>
      <c r="Y185" s="273" t="s">
        <v>538</v>
      </c>
      <c r="Z185" s="240" t="s">
        <v>328</v>
      </c>
      <c r="AA185" s="48">
        <v>311.65499999999997</v>
      </c>
    </row>
    <row r="186" spans="1:27" s="48" customFormat="1" ht="18" customHeight="1">
      <c r="A186" s="159">
        <v>0</v>
      </c>
      <c r="B186" s="160"/>
      <c r="C186" s="160"/>
      <c r="D186" s="161"/>
      <c r="E186" s="265" t="s">
        <v>808</v>
      </c>
      <c r="F186" s="160"/>
      <c r="G186" s="160"/>
      <c r="H186" s="160"/>
      <c r="I186" s="160"/>
      <c r="J186" s="160"/>
      <c r="K186" s="160"/>
      <c r="L186" s="160"/>
      <c r="M186" s="159" t="s">
        <v>931</v>
      </c>
      <c r="N186" s="160"/>
      <c r="O186" s="160"/>
      <c r="P186" s="160"/>
      <c r="Q186" s="160"/>
      <c r="R186" s="283" t="s">
        <v>643</v>
      </c>
      <c r="S186" s="156" t="s">
        <v>19</v>
      </c>
      <c r="T186" s="157">
        <v>8000</v>
      </c>
      <c r="U186" s="271">
        <v>1.2079646017699116E-2</v>
      </c>
      <c r="V186" s="272"/>
      <c r="W186" s="288">
        <v>96.638000000000005</v>
      </c>
      <c r="X186" s="289"/>
      <c r="Y186" s="273" t="s">
        <v>538</v>
      </c>
      <c r="Z186" s="240" t="s">
        <v>328</v>
      </c>
      <c r="AA186" s="48">
        <v>96.638000000000005</v>
      </c>
    </row>
    <row r="187" spans="1:27" s="48" customFormat="1" ht="18" customHeight="1">
      <c r="A187" s="159">
        <v>0</v>
      </c>
      <c r="B187" s="160"/>
      <c r="C187" s="160"/>
      <c r="D187" s="161"/>
      <c r="E187" s="265" t="s">
        <v>287</v>
      </c>
      <c r="F187" s="160"/>
      <c r="G187" s="160"/>
      <c r="H187" s="160"/>
      <c r="I187" s="160"/>
      <c r="J187" s="160"/>
      <c r="K187" s="160"/>
      <c r="L187" s="160"/>
      <c r="M187" s="159" t="s">
        <v>931</v>
      </c>
      <c r="N187" s="160"/>
      <c r="O187" s="160"/>
      <c r="P187" s="160"/>
      <c r="Q187" s="160"/>
      <c r="R187" s="283" t="s">
        <v>222</v>
      </c>
      <c r="S187" s="156" t="s">
        <v>19</v>
      </c>
      <c r="T187" s="157">
        <v>750</v>
      </c>
      <c r="U187" s="271">
        <v>0.61327433628318584</v>
      </c>
      <c r="V187" s="272"/>
      <c r="W187" s="288">
        <v>459.95599999999996</v>
      </c>
      <c r="X187" s="289"/>
      <c r="Y187" s="273" t="s">
        <v>540</v>
      </c>
      <c r="Z187" s="240" t="s">
        <v>328</v>
      </c>
      <c r="AA187" s="48">
        <v>459.95599999999996</v>
      </c>
    </row>
    <row r="188" spans="1:27" s="48" customFormat="1" ht="18" customHeight="1">
      <c r="A188" s="159">
        <v>0</v>
      </c>
      <c r="B188" s="160"/>
      <c r="C188" s="160"/>
      <c r="D188" s="161"/>
      <c r="E188" s="265" t="s">
        <v>809</v>
      </c>
      <c r="F188" s="160"/>
      <c r="G188" s="160"/>
      <c r="H188" s="160"/>
      <c r="I188" s="160"/>
      <c r="J188" s="160"/>
      <c r="K188" s="160"/>
      <c r="L188" s="160"/>
      <c r="M188" s="159" t="s">
        <v>931</v>
      </c>
      <c r="N188" s="160"/>
      <c r="O188" s="160"/>
      <c r="P188" s="160"/>
      <c r="Q188" s="160"/>
      <c r="R188" s="283" t="s">
        <v>669</v>
      </c>
      <c r="S188" s="156" t="s">
        <v>19</v>
      </c>
      <c r="T188" s="157">
        <v>200000</v>
      </c>
      <c r="U188" s="271">
        <v>3.6238938053097344E-2</v>
      </c>
      <c r="V188" s="272"/>
      <c r="W188" s="288">
        <v>7247.7880000000005</v>
      </c>
      <c r="X188" s="289"/>
      <c r="Y188" s="273" t="s">
        <v>538</v>
      </c>
      <c r="Z188" s="240" t="s">
        <v>328</v>
      </c>
      <c r="AA188" s="48">
        <v>7247.7880000000005</v>
      </c>
    </row>
    <row r="189" spans="1:27" s="48" customFormat="1" ht="18" customHeight="1">
      <c r="A189" s="159">
        <v>0</v>
      </c>
      <c r="B189" s="160"/>
      <c r="C189" s="160"/>
      <c r="D189" s="161"/>
      <c r="E189" s="265" t="s">
        <v>288</v>
      </c>
      <c r="F189" s="160"/>
      <c r="G189" s="160"/>
      <c r="H189" s="160"/>
      <c r="I189" s="160"/>
      <c r="J189" s="160"/>
      <c r="K189" s="160"/>
      <c r="L189" s="160"/>
      <c r="M189" s="159" t="s">
        <v>931</v>
      </c>
      <c r="N189" s="160"/>
      <c r="O189" s="160"/>
      <c r="P189" s="160"/>
      <c r="Q189" s="160"/>
      <c r="R189" s="283" t="s">
        <v>223</v>
      </c>
      <c r="S189" s="156" t="s">
        <v>19</v>
      </c>
      <c r="T189" s="157">
        <v>4000</v>
      </c>
      <c r="U189" s="271">
        <v>1.5796460176991153E-2</v>
      </c>
      <c r="V189" s="272"/>
      <c r="W189" s="288">
        <v>63.186</v>
      </c>
      <c r="X189" s="289"/>
      <c r="Y189" s="273" t="s">
        <v>538</v>
      </c>
      <c r="Z189" s="240" t="s">
        <v>328</v>
      </c>
      <c r="AA189" s="48">
        <v>63.186</v>
      </c>
    </row>
    <row r="190" spans="1:27" s="48" customFormat="1" ht="18" customHeight="1">
      <c r="A190" s="159">
        <v>0</v>
      </c>
      <c r="B190" s="160"/>
      <c r="C190" s="160"/>
      <c r="D190" s="161"/>
      <c r="E190" s="265" t="s">
        <v>810</v>
      </c>
      <c r="F190" s="160"/>
      <c r="G190" s="160"/>
      <c r="H190" s="160"/>
      <c r="I190" s="160"/>
      <c r="J190" s="160"/>
      <c r="K190" s="160"/>
      <c r="L190" s="160"/>
      <c r="M190" s="159" t="s">
        <v>931</v>
      </c>
      <c r="N190" s="160"/>
      <c r="O190" s="160"/>
      <c r="P190" s="160"/>
      <c r="Q190" s="160"/>
      <c r="R190" s="283" t="s">
        <v>557</v>
      </c>
      <c r="S190" s="156" t="s">
        <v>19</v>
      </c>
      <c r="T190" s="157">
        <v>24000</v>
      </c>
      <c r="U190" s="271">
        <v>6.5415929203539822E-2</v>
      </c>
      <c r="V190" s="272"/>
      <c r="W190" s="288">
        <v>1569.9829999999999</v>
      </c>
      <c r="X190" s="289"/>
      <c r="Y190" s="273" t="s">
        <v>538</v>
      </c>
      <c r="Z190" s="240" t="s">
        <v>129</v>
      </c>
      <c r="AA190" s="48">
        <v>1569.9829999999999</v>
      </c>
    </row>
    <row r="191" spans="1:27" s="48" customFormat="1" ht="18" customHeight="1">
      <c r="A191" s="159">
        <v>0</v>
      </c>
      <c r="B191" s="160"/>
      <c r="C191" s="160"/>
      <c r="D191" s="161"/>
      <c r="E191" s="265" t="s">
        <v>811</v>
      </c>
      <c r="F191" s="160"/>
      <c r="G191" s="160"/>
      <c r="H191" s="160"/>
      <c r="I191" s="160"/>
      <c r="J191" s="160"/>
      <c r="K191" s="160"/>
      <c r="L191" s="160"/>
      <c r="M191" s="159" t="s">
        <v>931</v>
      </c>
      <c r="N191" s="160"/>
      <c r="O191" s="160"/>
      <c r="P191" s="160"/>
      <c r="Q191" s="160"/>
      <c r="R191" s="283" t="s">
        <v>560</v>
      </c>
      <c r="S191" s="156" t="s">
        <v>19</v>
      </c>
      <c r="T191" s="157">
        <v>11000</v>
      </c>
      <c r="U191" s="271">
        <v>7.1548672566371679E-2</v>
      </c>
      <c r="V191" s="272"/>
      <c r="W191" s="288">
        <v>787.03599999999994</v>
      </c>
      <c r="X191" s="289"/>
      <c r="Y191" s="273" t="s">
        <v>538</v>
      </c>
      <c r="Z191" s="240" t="s">
        <v>129</v>
      </c>
      <c r="AA191" s="48">
        <v>787.03599999999994</v>
      </c>
    </row>
    <row r="192" spans="1:27" s="48" customFormat="1" ht="18" customHeight="1">
      <c r="A192" s="159">
        <v>0</v>
      </c>
      <c r="B192" s="160"/>
      <c r="C192" s="160"/>
      <c r="D192" s="161"/>
      <c r="E192" s="265" t="s">
        <v>352</v>
      </c>
      <c r="F192" s="160"/>
      <c r="G192" s="160"/>
      <c r="H192" s="160"/>
      <c r="I192" s="160"/>
      <c r="J192" s="160"/>
      <c r="K192" s="160"/>
      <c r="L192" s="160"/>
      <c r="M192" s="159" t="s">
        <v>931</v>
      </c>
      <c r="N192" s="160"/>
      <c r="O192" s="160"/>
      <c r="P192" s="160"/>
      <c r="Q192" s="160"/>
      <c r="R192" s="283" t="s">
        <v>348</v>
      </c>
      <c r="S192" s="156" t="s">
        <v>19</v>
      </c>
      <c r="T192" s="157">
        <v>2000</v>
      </c>
      <c r="U192" s="271">
        <v>1.0592920353982302E-2</v>
      </c>
      <c r="V192" s="272"/>
      <c r="W192" s="288">
        <v>21.186</v>
      </c>
      <c r="X192" s="289"/>
      <c r="Y192" s="273" t="s">
        <v>538</v>
      </c>
      <c r="Z192" s="240" t="s">
        <v>130</v>
      </c>
      <c r="AA192" s="48">
        <v>21.186</v>
      </c>
    </row>
    <row r="193" spans="1:27" s="48" customFormat="1" ht="18" customHeight="1">
      <c r="A193" s="159">
        <v>0</v>
      </c>
      <c r="B193" s="160"/>
      <c r="C193" s="160"/>
      <c r="D193" s="161"/>
      <c r="E193" s="265" t="s">
        <v>196</v>
      </c>
      <c r="F193" s="160"/>
      <c r="G193" s="160"/>
      <c r="H193" s="160"/>
      <c r="I193" s="160"/>
      <c r="J193" s="160"/>
      <c r="K193" s="160"/>
      <c r="L193" s="160"/>
      <c r="M193" s="159" t="s">
        <v>934</v>
      </c>
      <c r="N193" s="160"/>
      <c r="O193" s="160"/>
      <c r="P193" s="160"/>
      <c r="Q193" s="160"/>
      <c r="R193" s="283" t="s">
        <v>332</v>
      </c>
      <c r="S193" s="156" t="s">
        <v>19</v>
      </c>
      <c r="T193" s="157">
        <v>16000</v>
      </c>
      <c r="U193" s="271">
        <v>1.0690265486725664E-2</v>
      </c>
      <c r="V193" s="272"/>
      <c r="W193" s="288">
        <v>171.04500000000002</v>
      </c>
      <c r="X193" s="289"/>
      <c r="Y193" s="273" t="s">
        <v>538</v>
      </c>
      <c r="Z193" s="240" t="s">
        <v>123</v>
      </c>
      <c r="AA193" s="48">
        <v>171.04500000000002</v>
      </c>
    </row>
    <row r="194" spans="1:27" s="48" customFormat="1" ht="18" customHeight="1">
      <c r="A194" s="159">
        <v>0</v>
      </c>
      <c r="B194" s="160"/>
      <c r="C194" s="160"/>
      <c r="D194" s="161"/>
      <c r="E194" s="265" t="s">
        <v>334</v>
      </c>
      <c r="F194" s="160"/>
      <c r="G194" s="160"/>
      <c r="H194" s="160"/>
      <c r="I194" s="160"/>
      <c r="J194" s="160"/>
      <c r="K194" s="160"/>
      <c r="L194" s="160"/>
      <c r="M194" s="159" t="s">
        <v>934</v>
      </c>
      <c r="N194" s="160"/>
      <c r="O194" s="160"/>
      <c r="P194" s="160"/>
      <c r="Q194" s="160"/>
      <c r="R194" s="283" t="s">
        <v>333</v>
      </c>
      <c r="S194" s="156" t="s">
        <v>19</v>
      </c>
      <c r="T194" s="157">
        <v>2000</v>
      </c>
      <c r="U194" s="271">
        <v>1.8584070796460177E-2</v>
      </c>
      <c r="V194" s="272"/>
      <c r="W194" s="288">
        <v>37.168999999999997</v>
      </c>
      <c r="X194" s="289"/>
      <c r="Y194" s="273" t="s">
        <v>538</v>
      </c>
      <c r="Z194" s="240" t="s">
        <v>123</v>
      </c>
      <c r="AA194" s="48">
        <v>37.168999999999997</v>
      </c>
    </row>
    <row r="195" spans="1:27" s="48" customFormat="1" ht="18" customHeight="1">
      <c r="A195" s="159">
        <v>0</v>
      </c>
      <c r="B195" s="160"/>
      <c r="C195" s="160"/>
      <c r="D195" s="161"/>
      <c r="E195" s="265" t="s">
        <v>334</v>
      </c>
      <c r="F195" s="160"/>
      <c r="G195" s="160"/>
      <c r="H195" s="160"/>
      <c r="I195" s="160"/>
      <c r="J195" s="160"/>
      <c r="K195" s="160"/>
      <c r="L195" s="160"/>
      <c r="M195" s="159" t="s">
        <v>934</v>
      </c>
      <c r="N195" s="160"/>
      <c r="O195" s="160"/>
      <c r="P195" s="160"/>
      <c r="Q195" s="160"/>
      <c r="R195" s="283" t="s">
        <v>347</v>
      </c>
      <c r="S195" s="156" t="s">
        <v>19</v>
      </c>
      <c r="T195" s="157">
        <v>1000</v>
      </c>
      <c r="U195" s="271">
        <v>3.7168141592920353E-2</v>
      </c>
      <c r="V195" s="272"/>
      <c r="W195" s="288">
        <v>37.168999999999997</v>
      </c>
      <c r="X195" s="289"/>
      <c r="Y195" s="273" t="s">
        <v>538</v>
      </c>
      <c r="Z195" s="240" t="s">
        <v>123</v>
      </c>
      <c r="AA195" s="48">
        <v>37.168999999999997</v>
      </c>
    </row>
    <row r="196" spans="1:27" s="48" customFormat="1" ht="18" customHeight="1">
      <c r="A196" s="159">
        <v>0</v>
      </c>
      <c r="B196" s="160"/>
      <c r="C196" s="160"/>
      <c r="D196" s="161"/>
      <c r="E196" s="265" t="s">
        <v>813</v>
      </c>
      <c r="F196" s="160"/>
      <c r="G196" s="160"/>
      <c r="H196" s="160"/>
      <c r="I196" s="160"/>
      <c r="J196" s="160"/>
      <c r="K196" s="160"/>
      <c r="L196" s="160"/>
      <c r="M196" s="159" t="s">
        <v>931</v>
      </c>
      <c r="N196" s="160"/>
      <c r="O196" s="160"/>
      <c r="P196" s="160"/>
      <c r="Q196" s="160"/>
      <c r="R196" s="283" t="s">
        <v>644</v>
      </c>
      <c r="S196" s="156" t="s">
        <v>19</v>
      </c>
      <c r="T196" s="157">
        <v>13800</v>
      </c>
      <c r="U196" s="271">
        <v>2.1000000000000001E-2</v>
      </c>
      <c r="V196" s="272"/>
      <c r="W196" s="288">
        <v>289.8</v>
      </c>
      <c r="X196" s="289"/>
      <c r="Y196" s="273" t="s">
        <v>538</v>
      </c>
      <c r="Z196" s="240" t="s">
        <v>328</v>
      </c>
      <c r="AA196" s="48">
        <v>289.8</v>
      </c>
    </row>
    <row r="197" spans="1:27" s="48" customFormat="1" ht="18" customHeight="1">
      <c r="A197" s="159">
        <v>0</v>
      </c>
      <c r="B197" s="160"/>
      <c r="C197" s="160"/>
      <c r="D197" s="161"/>
      <c r="E197" s="265" t="s">
        <v>814</v>
      </c>
      <c r="F197" s="160"/>
      <c r="G197" s="160"/>
      <c r="H197" s="160"/>
      <c r="I197" s="160"/>
      <c r="J197" s="160"/>
      <c r="K197" s="160"/>
      <c r="L197" s="160"/>
      <c r="M197" s="159" t="s">
        <v>930</v>
      </c>
      <c r="N197" s="160"/>
      <c r="O197" s="160"/>
      <c r="P197" s="160"/>
      <c r="Q197" s="160"/>
      <c r="R197" s="283" t="s">
        <v>583</v>
      </c>
      <c r="S197" s="156" t="s">
        <v>19</v>
      </c>
      <c r="T197" s="157">
        <v>14000</v>
      </c>
      <c r="U197" s="271">
        <v>1.7840707964601771E-2</v>
      </c>
      <c r="V197" s="272"/>
      <c r="W197" s="288">
        <v>249.77</v>
      </c>
      <c r="X197" s="289"/>
      <c r="Y197" s="273" t="s">
        <v>538</v>
      </c>
      <c r="Z197" s="240" t="s">
        <v>328</v>
      </c>
      <c r="AA197" s="48">
        <v>249.77</v>
      </c>
    </row>
    <row r="198" spans="1:27" s="48" customFormat="1" ht="18" customHeight="1">
      <c r="A198" s="159">
        <v>0</v>
      </c>
      <c r="B198" s="160"/>
      <c r="C198" s="160"/>
      <c r="D198" s="161"/>
      <c r="E198" s="265" t="s">
        <v>815</v>
      </c>
      <c r="F198" s="160"/>
      <c r="G198" s="160"/>
      <c r="H198" s="160"/>
      <c r="I198" s="160"/>
      <c r="J198" s="160"/>
      <c r="K198" s="160"/>
      <c r="L198" s="160"/>
      <c r="M198" s="159" t="s">
        <v>931</v>
      </c>
      <c r="N198" s="160"/>
      <c r="O198" s="160"/>
      <c r="P198" s="160"/>
      <c r="Q198" s="160"/>
      <c r="R198" s="283" t="s">
        <v>563</v>
      </c>
      <c r="S198" s="156" t="s">
        <v>19</v>
      </c>
      <c r="T198" s="157">
        <v>8000</v>
      </c>
      <c r="U198" s="271">
        <v>3.1592920353982305E-2</v>
      </c>
      <c r="V198" s="272"/>
      <c r="W198" s="288">
        <v>252.744</v>
      </c>
      <c r="X198" s="289"/>
      <c r="Y198" s="273" t="s">
        <v>538</v>
      </c>
      <c r="Z198" s="240" t="s">
        <v>328</v>
      </c>
      <c r="AA198" s="48">
        <v>252.744</v>
      </c>
    </row>
    <row r="199" spans="1:27" s="48" customFormat="1" ht="18" customHeight="1">
      <c r="A199" s="159">
        <v>0</v>
      </c>
      <c r="B199" s="160"/>
      <c r="C199" s="160"/>
      <c r="D199" s="161"/>
      <c r="E199" s="265" t="s">
        <v>816</v>
      </c>
      <c r="F199" s="160"/>
      <c r="G199" s="160"/>
      <c r="H199" s="160"/>
      <c r="I199" s="160"/>
      <c r="J199" s="160"/>
      <c r="K199" s="160"/>
      <c r="L199" s="160"/>
      <c r="M199" s="159" t="s">
        <v>931</v>
      </c>
      <c r="N199" s="160"/>
      <c r="O199" s="160"/>
      <c r="P199" s="160"/>
      <c r="Q199" s="160"/>
      <c r="R199" s="283" t="s">
        <v>550</v>
      </c>
      <c r="S199" s="156" t="s">
        <v>19</v>
      </c>
      <c r="T199" s="157">
        <v>7000</v>
      </c>
      <c r="U199" s="271">
        <v>4.4601769911504427E-2</v>
      </c>
      <c r="V199" s="272"/>
      <c r="W199" s="288">
        <v>312.21299999999997</v>
      </c>
      <c r="X199" s="289"/>
      <c r="Y199" s="273" t="s">
        <v>538</v>
      </c>
      <c r="Z199" s="240" t="s">
        <v>328</v>
      </c>
      <c r="AA199" s="48">
        <v>312.21299999999997</v>
      </c>
    </row>
    <row r="200" spans="1:27" s="48" customFormat="1" ht="18" customHeight="1">
      <c r="A200" s="159">
        <v>0</v>
      </c>
      <c r="B200" s="160"/>
      <c r="C200" s="160"/>
      <c r="D200" s="161"/>
      <c r="E200" s="265" t="s">
        <v>817</v>
      </c>
      <c r="F200" s="160"/>
      <c r="G200" s="160"/>
      <c r="H200" s="160"/>
      <c r="I200" s="160"/>
      <c r="J200" s="160"/>
      <c r="K200" s="160"/>
      <c r="L200" s="160"/>
      <c r="M200" s="159" t="s">
        <v>931</v>
      </c>
      <c r="N200" s="160"/>
      <c r="O200" s="160"/>
      <c r="P200" s="160"/>
      <c r="Q200" s="160"/>
      <c r="R200" s="283" t="s">
        <v>552</v>
      </c>
      <c r="S200" s="156" t="s">
        <v>19</v>
      </c>
      <c r="T200" s="157">
        <v>64000</v>
      </c>
      <c r="U200" s="271">
        <v>3.1690265486725669E-2</v>
      </c>
      <c r="V200" s="272"/>
      <c r="W200" s="288">
        <v>2028.1769999999999</v>
      </c>
      <c r="X200" s="289"/>
      <c r="Y200" s="273" t="s">
        <v>538</v>
      </c>
      <c r="Z200" s="240" t="s">
        <v>328</v>
      </c>
      <c r="AA200" s="48">
        <v>2028.1769999999999</v>
      </c>
    </row>
    <row r="201" spans="1:27" s="48" customFormat="1" ht="18" customHeight="1">
      <c r="A201" s="159">
        <v>0</v>
      </c>
      <c r="B201" s="160"/>
      <c r="C201" s="160"/>
      <c r="D201" s="161"/>
      <c r="E201" s="265" t="s">
        <v>285</v>
      </c>
      <c r="F201" s="160"/>
      <c r="G201" s="160"/>
      <c r="H201" s="160"/>
      <c r="I201" s="160"/>
      <c r="J201" s="160"/>
      <c r="K201" s="160"/>
      <c r="L201" s="160"/>
      <c r="M201" s="159" t="s">
        <v>931</v>
      </c>
      <c r="N201" s="160"/>
      <c r="O201" s="160"/>
      <c r="P201" s="160"/>
      <c r="Q201" s="160"/>
      <c r="R201" s="283" t="s">
        <v>220</v>
      </c>
      <c r="S201" s="156" t="s">
        <v>19</v>
      </c>
      <c r="T201" s="157">
        <v>6000</v>
      </c>
      <c r="U201" s="271">
        <v>3.7168141592920353E-2</v>
      </c>
      <c r="V201" s="272"/>
      <c r="W201" s="288">
        <v>223.00900000000001</v>
      </c>
      <c r="X201" s="289"/>
      <c r="Y201" s="273" t="s">
        <v>548</v>
      </c>
      <c r="Z201" s="240" t="s">
        <v>328</v>
      </c>
      <c r="AA201" s="48">
        <v>223.00900000000001</v>
      </c>
    </row>
    <row r="202" spans="1:27" s="48" customFormat="1" ht="18" customHeight="1">
      <c r="A202" s="159">
        <v>0</v>
      </c>
      <c r="B202" s="160"/>
      <c r="C202" s="160"/>
      <c r="D202" s="161"/>
      <c r="E202" s="265" t="s">
        <v>818</v>
      </c>
      <c r="F202" s="160"/>
      <c r="G202" s="160"/>
      <c r="H202" s="160"/>
      <c r="I202" s="160"/>
      <c r="J202" s="160"/>
      <c r="K202" s="160"/>
      <c r="L202" s="160"/>
      <c r="M202" s="159" t="s">
        <v>931</v>
      </c>
      <c r="N202" s="160"/>
      <c r="O202" s="160"/>
      <c r="P202" s="160"/>
      <c r="Q202" s="160"/>
      <c r="R202" s="283" t="s">
        <v>703</v>
      </c>
      <c r="S202" s="156" t="s">
        <v>19</v>
      </c>
      <c r="T202" s="157">
        <v>3000</v>
      </c>
      <c r="U202" s="271">
        <v>0.37168141592920356</v>
      </c>
      <c r="V202" s="272"/>
      <c r="W202" s="288">
        <v>1115.0450000000001</v>
      </c>
      <c r="X202" s="289"/>
      <c r="Y202" s="273" t="s">
        <v>538</v>
      </c>
      <c r="Z202" s="240" t="s">
        <v>328</v>
      </c>
      <c r="AA202" s="48">
        <v>1115.0450000000001</v>
      </c>
    </row>
    <row r="203" spans="1:27" s="48" customFormat="1" ht="18" customHeight="1">
      <c r="A203" s="159">
        <v>0</v>
      </c>
      <c r="B203" s="160"/>
      <c r="C203" s="160"/>
      <c r="D203" s="161"/>
      <c r="E203" s="265" t="s">
        <v>819</v>
      </c>
      <c r="F203" s="160"/>
      <c r="G203" s="160"/>
      <c r="H203" s="160"/>
      <c r="I203" s="160"/>
      <c r="J203" s="160"/>
      <c r="K203" s="160"/>
      <c r="L203" s="160"/>
      <c r="M203" s="159" t="s">
        <v>931</v>
      </c>
      <c r="N203" s="160"/>
      <c r="O203" s="160"/>
      <c r="P203" s="160"/>
      <c r="Q203" s="160"/>
      <c r="R203" s="283" t="s">
        <v>704</v>
      </c>
      <c r="S203" s="156" t="s">
        <v>19</v>
      </c>
      <c r="T203" s="157">
        <v>9000</v>
      </c>
      <c r="U203" s="271">
        <v>0.37168141592920356</v>
      </c>
      <c r="V203" s="272"/>
      <c r="W203" s="288">
        <v>3345.1330000000003</v>
      </c>
      <c r="X203" s="289"/>
      <c r="Y203" s="273" t="s">
        <v>538</v>
      </c>
      <c r="Z203" s="240" t="s">
        <v>328</v>
      </c>
      <c r="AA203" s="48">
        <v>3345.1330000000003</v>
      </c>
    </row>
    <row r="204" spans="1:27" s="48" customFormat="1" ht="18" customHeight="1">
      <c r="A204" s="159">
        <v>0</v>
      </c>
      <c r="B204" s="160"/>
      <c r="C204" s="160"/>
      <c r="D204" s="161"/>
      <c r="E204" s="265" t="s">
        <v>820</v>
      </c>
      <c r="F204" s="160"/>
      <c r="G204" s="160"/>
      <c r="H204" s="160"/>
      <c r="I204" s="160"/>
      <c r="J204" s="160"/>
      <c r="K204" s="160"/>
      <c r="L204" s="160"/>
      <c r="M204" s="159" t="s">
        <v>934</v>
      </c>
      <c r="N204" s="160"/>
      <c r="O204" s="160"/>
      <c r="P204" s="160"/>
      <c r="Q204" s="160"/>
      <c r="R204" s="283" t="s">
        <v>652</v>
      </c>
      <c r="S204" s="156" t="s">
        <v>19</v>
      </c>
      <c r="T204" s="157">
        <v>2000</v>
      </c>
      <c r="U204" s="271">
        <v>3.4663716814159293E-2</v>
      </c>
      <c r="V204" s="272"/>
      <c r="W204" s="288">
        <v>69.328000000000003</v>
      </c>
      <c r="X204" s="289"/>
      <c r="Y204" s="273" t="s">
        <v>538</v>
      </c>
      <c r="Z204" s="240" t="s">
        <v>125</v>
      </c>
      <c r="AA204" s="48">
        <v>69.328000000000003</v>
      </c>
    </row>
    <row r="205" spans="1:27" s="48" customFormat="1" ht="18" customHeight="1">
      <c r="A205" s="159">
        <v>0</v>
      </c>
      <c r="B205" s="160"/>
      <c r="C205" s="160"/>
      <c r="D205" s="161"/>
      <c r="E205" s="265" t="s">
        <v>290</v>
      </c>
      <c r="F205" s="160"/>
      <c r="G205" s="160"/>
      <c r="H205" s="160"/>
      <c r="I205" s="160"/>
      <c r="J205" s="160"/>
      <c r="K205" s="160"/>
      <c r="L205" s="160"/>
      <c r="M205" s="159" t="s">
        <v>934</v>
      </c>
      <c r="N205" s="160"/>
      <c r="O205" s="160"/>
      <c r="P205" s="160"/>
      <c r="Q205" s="160"/>
      <c r="R205" s="283" t="s">
        <v>225</v>
      </c>
      <c r="S205" s="156" t="s">
        <v>19</v>
      </c>
      <c r="T205" s="157">
        <v>24000</v>
      </c>
      <c r="U205" s="271">
        <v>1.4867256637168142E-2</v>
      </c>
      <c r="V205" s="272"/>
      <c r="W205" s="288">
        <v>356.815</v>
      </c>
      <c r="X205" s="289"/>
      <c r="Y205" s="273" t="s">
        <v>538</v>
      </c>
      <c r="Z205" s="240" t="s">
        <v>123</v>
      </c>
      <c r="AA205" s="48">
        <v>356.815</v>
      </c>
    </row>
    <row r="206" spans="1:27" s="48" customFormat="1" ht="18" customHeight="1">
      <c r="A206" s="159">
        <v>0</v>
      </c>
      <c r="B206" s="160"/>
      <c r="C206" s="160"/>
      <c r="D206" s="161"/>
      <c r="E206" s="265" t="s">
        <v>821</v>
      </c>
      <c r="F206" s="160"/>
      <c r="G206" s="160"/>
      <c r="H206" s="160"/>
      <c r="I206" s="160"/>
      <c r="J206" s="160"/>
      <c r="K206" s="160"/>
      <c r="L206" s="160"/>
      <c r="M206" s="159" t="s">
        <v>935</v>
      </c>
      <c r="N206" s="160"/>
      <c r="O206" s="160"/>
      <c r="P206" s="160"/>
      <c r="Q206" s="160"/>
      <c r="R206" s="283" t="s">
        <v>621</v>
      </c>
      <c r="S206" s="156" t="s">
        <v>19</v>
      </c>
      <c r="T206" s="157">
        <v>1279</v>
      </c>
      <c r="U206" s="271">
        <v>0.17478761061946901</v>
      </c>
      <c r="V206" s="272"/>
      <c r="W206" s="288">
        <v>223.554</v>
      </c>
      <c r="X206" s="289"/>
      <c r="Y206" s="273" t="s">
        <v>538</v>
      </c>
      <c r="Z206" s="240" t="s">
        <v>127</v>
      </c>
      <c r="AA206" s="48">
        <v>223.554</v>
      </c>
    </row>
    <row r="207" spans="1:27" s="48" customFormat="1" ht="18" customHeight="1">
      <c r="A207" s="159">
        <v>0</v>
      </c>
      <c r="B207" s="160"/>
      <c r="C207" s="160"/>
      <c r="D207" s="161"/>
      <c r="E207" s="265" t="s">
        <v>822</v>
      </c>
      <c r="F207" s="160"/>
      <c r="G207" s="160"/>
      <c r="H207" s="160"/>
      <c r="I207" s="160"/>
      <c r="J207" s="160"/>
      <c r="K207" s="160"/>
      <c r="L207" s="160"/>
      <c r="M207" s="159" t="s">
        <v>936</v>
      </c>
      <c r="N207" s="160"/>
      <c r="O207" s="160"/>
      <c r="P207" s="160"/>
      <c r="Q207" s="160"/>
      <c r="R207" s="283" t="s">
        <v>684</v>
      </c>
      <c r="S207" s="156" t="s">
        <v>19</v>
      </c>
      <c r="T207" s="157">
        <v>500</v>
      </c>
      <c r="U207" s="271">
        <v>4.892256637168142</v>
      </c>
      <c r="V207" s="272"/>
      <c r="W207" s="288">
        <v>2446.1290000000004</v>
      </c>
      <c r="X207" s="289"/>
      <c r="Y207" s="273" t="s">
        <v>538</v>
      </c>
      <c r="Z207" s="240" t="s">
        <v>716</v>
      </c>
      <c r="AA207" s="48">
        <v>2446.1290000000004</v>
      </c>
    </row>
    <row r="208" spans="1:27" s="48" customFormat="1" ht="18" customHeight="1">
      <c r="A208" s="159">
        <v>0</v>
      </c>
      <c r="B208" s="160"/>
      <c r="C208" s="160"/>
      <c r="D208" s="161"/>
      <c r="E208" s="265" t="s">
        <v>823</v>
      </c>
      <c r="F208" s="160"/>
      <c r="G208" s="160"/>
      <c r="H208" s="160"/>
      <c r="I208" s="160"/>
      <c r="J208" s="160"/>
      <c r="K208" s="160"/>
      <c r="L208" s="160"/>
      <c r="M208" s="159" t="s">
        <v>936</v>
      </c>
      <c r="N208" s="160"/>
      <c r="O208" s="160"/>
      <c r="P208" s="160"/>
      <c r="Q208" s="160"/>
      <c r="R208" s="283" t="s">
        <v>728</v>
      </c>
      <c r="S208" s="156" t="s">
        <v>19</v>
      </c>
      <c r="T208" s="157">
        <v>55</v>
      </c>
      <c r="U208" s="271">
        <v>4.5586725663716816</v>
      </c>
      <c r="V208" s="272"/>
      <c r="W208" s="288">
        <v>250.727</v>
      </c>
      <c r="X208" s="289"/>
      <c r="Y208" s="273" t="s">
        <v>538</v>
      </c>
      <c r="Z208" s="240" t="s">
        <v>716</v>
      </c>
      <c r="AA208" s="48">
        <v>250.727</v>
      </c>
    </row>
    <row r="209" spans="1:27" s="48" customFormat="1" ht="18" customHeight="1">
      <c r="A209" s="159">
        <v>0</v>
      </c>
      <c r="B209" s="160"/>
      <c r="C209" s="160"/>
      <c r="D209" s="161"/>
      <c r="E209" s="265" t="s">
        <v>824</v>
      </c>
      <c r="F209" s="160"/>
      <c r="G209" s="160"/>
      <c r="H209" s="160"/>
      <c r="I209" s="160"/>
      <c r="J209" s="160"/>
      <c r="K209" s="160"/>
      <c r="L209" s="160"/>
      <c r="M209" s="159" t="s">
        <v>936</v>
      </c>
      <c r="N209" s="160"/>
      <c r="O209" s="160"/>
      <c r="P209" s="160"/>
      <c r="Q209" s="160"/>
      <c r="R209" s="283" t="s">
        <v>646</v>
      </c>
      <c r="S209" s="156" t="s">
        <v>19</v>
      </c>
      <c r="T209" s="157">
        <v>337</v>
      </c>
      <c r="U209" s="271">
        <v>2.0353982300884956</v>
      </c>
      <c r="V209" s="272"/>
      <c r="W209" s="288">
        <v>685.93</v>
      </c>
      <c r="X209" s="289"/>
      <c r="Y209" s="273" t="s">
        <v>538</v>
      </c>
      <c r="Z209" s="240" t="s">
        <v>131</v>
      </c>
      <c r="AA209" s="48">
        <v>685.93</v>
      </c>
    </row>
    <row r="210" spans="1:27" s="48" customFormat="1" ht="18" customHeight="1">
      <c r="A210" s="159">
        <v>0</v>
      </c>
      <c r="B210" s="160"/>
      <c r="C210" s="160"/>
      <c r="D210" s="161"/>
      <c r="E210" s="265" t="s">
        <v>27</v>
      </c>
      <c r="F210" s="160"/>
      <c r="G210" s="160"/>
      <c r="H210" s="160"/>
      <c r="I210" s="160"/>
      <c r="J210" s="160"/>
      <c r="K210" s="160"/>
      <c r="L210" s="160"/>
      <c r="M210" s="159" t="s">
        <v>925</v>
      </c>
      <c r="N210" s="160"/>
      <c r="O210" s="160"/>
      <c r="P210" s="160"/>
      <c r="Q210" s="160"/>
      <c r="R210" s="283">
        <v>1928404669</v>
      </c>
      <c r="S210" s="156" t="s">
        <v>19</v>
      </c>
      <c r="T210" s="157">
        <v>1500</v>
      </c>
      <c r="U210" s="271">
        <v>0.38654867256637171</v>
      </c>
      <c r="V210" s="272"/>
      <c r="W210" s="288">
        <v>579.82399999999996</v>
      </c>
      <c r="X210" s="289"/>
      <c r="Y210" s="273" t="s">
        <v>540</v>
      </c>
      <c r="Z210" s="240" t="s">
        <v>130</v>
      </c>
      <c r="AA210" s="48">
        <v>579.82399999999996</v>
      </c>
    </row>
    <row r="211" spans="1:27" s="48" customFormat="1" ht="18" customHeight="1">
      <c r="A211" s="159">
        <v>0</v>
      </c>
      <c r="B211" s="160"/>
      <c r="C211" s="160"/>
      <c r="D211" s="161"/>
      <c r="E211" s="265" t="s">
        <v>442</v>
      </c>
      <c r="F211" s="160"/>
      <c r="G211" s="160"/>
      <c r="H211" s="160"/>
      <c r="I211" s="160"/>
      <c r="J211" s="160"/>
      <c r="K211" s="160"/>
      <c r="L211" s="160"/>
      <c r="M211" s="159" t="s">
        <v>931</v>
      </c>
      <c r="N211" s="160"/>
      <c r="O211" s="160"/>
      <c r="P211" s="160"/>
      <c r="Q211" s="160"/>
      <c r="R211" s="283" t="s">
        <v>366</v>
      </c>
      <c r="S211" s="156" t="s">
        <v>19</v>
      </c>
      <c r="T211" s="157">
        <v>3640</v>
      </c>
      <c r="U211" s="271">
        <v>0.41814159292035397</v>
      </c>
      <c r="V211" s="272"/>
      <c r="W211" s="288">
        <v>1522.0360000000001</v>
      </c>
      <c r="X211" s="289"/>
      <c r="Y211" s="273" t="s">
        <v>538</v>
      </c>
      <c r="Z211" s="240" t="s">
        <v>130</v>
      </c>
      <c r="AA211" s="48">
        <v>1522.0360000000001</v>
      </c>
    </row>
    <row r="212" spans="1:27" s="48" customFormat="1" ht="18" customHeight="1">
      <c r="A212" s="159">
        <v>0</v>
      </c>
      <c r="B212" s="160"/>
      <c r="C212" s="160"/>
      <c r="D212" s="161"/>
      <c r="E212" s="265" t="s">
        <v>156</v>
      </c>
      <c r="F212" s="160"/>
      <c r="G212" s="160"/>
      <c r="H212" s="160"/>
      <c r="I212" s="160"/>
      <c r="J212" s="160"/>
      <c r="K212" s="160"/>
      <c r="L212" s="160"/>
      <c r="M212" s="159" t="s">
        <v>925</v>
      </c>
      <c r="N212" s="160"/>
      <c r="O212" s="160"/>
      <c r="P212" s="160"/>
      <c r="Q212" s="160"/>
      <c r="R212" s="283" t="s">
        <v>155</v>
      </c>
      <c r="S212" s="156" t="s">
        <v>19</v>
      </c>
      <c r="T212" s="157">
        <v>13000</v>
      </c>
      <c r="U212" s="271">
        <v>0.38283185840707967</v>
      </c>
      <c r="V212" s="272"/>
      <c r="W212" s="288">
        <v>4976.8150000000005</v>
      </c>
      <c r="X212" s="289"/>
      <c r="Y212" s="273" t="s">
        <v>547</v>
      </c>
      <c r="Z212" s="240" t="s">
        <v>125</v>
      </c>
      <c r="AA212" s="48">
        <v>4976.8150000000005</v>
      </c>
    </row>
    <row r="213" spans="1:27" s="48" customFormat="1" ht="18" customHeight="1">
      <c r="A213" s="159">
        <v>0</v>
      </c>
      <c r="B213" s="160"/>
      <c r="C213" s="160"/>
      <c r="D213" s="161"/>
      <c r="E213" s="265" t="s">
        <v>160</v>
      </c>
      <c r="F213" s="160"/>
      <c r="G213" s="160"/>
      <c r="H213" s="160"/>
      <c r="I213" s="160"/>
      <c r="J213" s="160"/>
      <c r="K213" s="160"/>
      <c r="L213" s="160"/>
      <c r="M213" s="159" t="s">
        <v>925</v>
      </c>
      <c r="N213" s="160"/>
      <c r="O213" s="160"/>
      <c r="P213" s="160"/>
      <c r="Q213" s="160"/>
      <c r="R213" s="283" t="s">
        <v>159</v>
      </c>
      <c r="S213" s="156" t="s">
        <v>19</v>
      </c>
      <c r="T213" s="157">
        <v>4000</v>
      </c>
      <c r="U213" s="271">
        <v>0.51942477876106197</v>
      </c>
      <c r="V213" s="272"/>
      <c r="W213" s="288">
        <v>2077.7000000000003</v>
      </c>
      <c r="X213" s="289"/>
      <c r="Y213" s="273" t="s">
        <v>547</v>
      </c>
      <c r="Z213" s="240" t="s">
        <v>125</v>
      </c>
      <c r="AA213" s="48">
        <v>2077.7000000000003</v>
      </c>
    </row>
    <row r="214" spans="1:27" s="48" customFormat="1" ht="18" customHeight="1">
      <c r="A214" s="159">
        <v>0</v>
      </c>
      <c r="B214" s="160"/>
      <c r="C214" s="160"/>
      <c r="D214" s="161"/>
      <c r="E214" s="265" t="s">
        <v>825</v>
      </c>
      <c r="F214" s="160"/>
      <c r="G214" s="160"/>
      <c r="H214" s="160"/>
      <c r="I214" s="160"/>
      <c r="J214" s="160"/>
      <c r="K214" s="160"/>
      <c r="L214" s="160"/>
      <c r="M214" s="159" t="s">
        <v>925</v>
      </c>
      <c r="N214" s="160"/>
      <c r="O214" s="160"/>
      <c r="P214" s="160"/>
      <c r="Q214" s="160"/>
      <c r="R214" s="283" t="s">
        <v>593</v>
      </c>
      <c r="S214" s="156" t="s">
        <v>19</v>
      </c>
      <c r="T214" s="157">
        <v>2560</v>
      </c>
      <c r="U214" s="271">
        <v>1.1447787610619469</v>
      </c>
      <c r="V214" s="272"/>
      <c r="W214" s="288">
        <v>2930.634</v>
      </c>
      <c r="X214" s="289"/>
      <c r="Y214" s="273" t="s">
        <v>538</v>
      </c>
      <c r="Z214" s="240" t="s">
        <v>130</v>
      </c>
      <c r="AA214" s="48">
        <v>2930.634</v>
      </c>
    </row>
    <row r="215" spans="1:27" s="48" customFormat="1" ht="18" customHeight="1">
      <c r="A215" s="159">
        <v>0</v>
      </c>
      <c r="B215" s="160"/>
      <c r="C215" s="160"/>
      <c r="D215" s="161"/>
      <c r="E215" s="265" t="s">
        <v>343</v>
      </c>
      <c r="F215" s="160"/>
      <c r="G215" s="160"/>
      <c r="H215" s="160"/>
      <c r="I215" s="160"/>
      <c r="J215" s="160"/>
      <c r="K215" s="160"/>
      <c r="L215" s="160"/>
      <c r="M215" s="159" t="s">
        <v>931</v>
      </c>
      <c r="N215" s="160"/>
      <c r="O215" s="160"/>
      <c r="P215" s="160"/>
      <c r="Q215" s="160"/>
      <c r="R215" s="283" t="s">
        <v>67</v>
      </c>
      <c r="S215" s="156" t="s">
        <v>19</v>
      </c>
      <c r="T215" s="157">
        <v>1000</v>
      </c>
      <c r="U215" s="271">
        <v>7.8982300884955753E-2</v>
      </c>
      <c r="V215" s="272"/>
      <c r="W215" s="288">
        <v>78.983000000000004</v>
      </c>
      <c r="X215" s="289"/>
      <c r="Y215" s="273" t="s">
        <v>540</v>
      </c>
      <c r="Z215" s="240" t="s">
        <v>130</v>
      </c>
      <c r="AA215" s="48">
        <v>78.983000000000004</v>
      </c>
    </row>
    <row r="216" spans="1:27" s="48" customFormat="1" ht="18" customHeight="1">
      <c r="A216" s="159">
        <v>0</v>
      </c>
      <c r="B216" s="160"/>
      <c r="C216" s="160"/>
      <c r="D216" s="161"/>
      <c r="E216" s="265" t="s">
        <v>158</v>
      </c>
      <c r="F216" s="160"/>
      <c r="G216" s="160"/>
      <c r="H216" s="160"/>
      <c r="I216" s="160"/>
      <c r="J216" s="160"/>
      <c r="K216" s="160"/>
      <c r="L216" s="160"/>
      <c r="M216" s="159" t="s">
        <v>925</v>
      </c>
      <c r="N216" s="160"/>
      <c r="O216" s="160"/>
      <c r="P216" s="160"/>
      <c r="Q216" s="160"/>
      <c r="R216" s="283" t="s">
        <v>157</v>
      </c>
      <c r="S216" s="156" t="s">
        <v>19</v>
      </c>
      <c r="T216" s="157">
        <v>4000</v>
      </c>
      <c r="U216" s="271">
        <v>0.40327433628318582</v>
      </c>
      <c r="V216" s="272"/>
      <c r="W216" s="288">
        <v>1613.098</v>
      </c>
      <c r="X216" s="289"/>
      <c r="Y216" s="273" t="s">
        <v>540</v>
      </c>
      <c r="Z216" s="240" t="s">
        <v>125</v>
      </c>
      <c r="AA216" s="48">
        <v>1613.098</v>
      </c>
    </row>
    <row r="217" spans="1:27" s="48" customFormat="1" ht="18" customHeight="1">
      <c r="A217" s="159">
        <v>0</v>
      </c>
      <c r="B217" s="160"/>
      <c r="C217" s="160"/>
      <c r="D217" s="161"/>
      <c r="E217" s="265" t="s">
        <v>28</v>
      </c>
      <c r="F217" s="160"/>
      <c r="G217" s="160"/>
      <c r="H217" s="160"/>
      <c r="I217" s="160"/>
      <c r="J217" s="160"/>
      <c r="K217" s="160"/>
      <c r="L217" s="160"/>
      <c r="M217" s="159" t="s">
        <v>925</v>
      </c>
      <c r="N217" s="160"/>
      <c r="O217" s="160"/>
      <c r="P217" s="160"/>
      <c r="Q217" s="160"/>
      <c r="R217" s="283" t="s">
        <v>95</v>
      </c>
      <c r="S217" s="156" t="s">
        <v>19</v>
      </c>
      <c r="T217" s="157">
        <v>6000</v>
      </c>
      <c r="U217" s="271">
        <v>0.40884955752212387</v>
      </c>
      <c r="V217" s="272"/>
      <c r="W217" s="288">
        <v>2453.0980000000004</v>
      </c>
      <c r="X217" s="289"/>
      <c r="Y217" s="273" t="s">
        <v>540</v>
      </c>
      <c r="Z217" s="240" t="s">
        <v>125</v>
      </c>
      <c r="AA217" s="48">
        <v>2453.0980000000004</v>
      </c>
    </row>
    <row r="218" spans="1:27" s="48" customFormat="1" ht="18" customHeight="1">
      <c r="A218" s="159">
        <v>0</v>
      </c>
      <c r="B218" s="160"/>
      <c r="C218" s="160"/>
      <c r="D218" s="161"/>
      <c r="E218" s="265" t="s">
        <v>152</v>
      </c>
      <c r="F218" s="160"/>
      <c r="G218" s="160"/>
      <c r="H218" s="160"/>
      <c r="I218" s="160"/>
      <c r="J218" s="160"/>
      <c r="K218" s="160"/>
      <c r="L218" s="160"/>
      <c r="M218" s="159" t="s">
        <v>925</v>
      </c>
      <c r="N218" s="160"/>
      <c r="O218" s="160"/>
      <c r="P218" s="160"/>
      <c r="Q218" s="160"/>
      <c r="R218" s="283" t="s">
        <v>151</v>
      </c>
      <c r="S218" s="156" t="s">
        <v>19</v>
      </c>
      <c r="T218" s="157">
        <v>4300</v>
      </c>
      <c r="U218" s="271">
        <v>0.22300884955752212</v>
      </c>
      <c r="V218" s="272"/>
      <c r="W218" s="288">
        <v>958.93899999999996</v>
      </c>
      <c r="X218" s="289"/>
      <c r="Y218" s="273" t="s">
        <v>538</v>
      </c>
      <c r="Z218" s="240" t="s">
        <v>130</v>
      </c>
      <c r="AA218" s="48">
        <v>958.93899999999996</v>
      </c>
    </row>
    <row r="219" spans="1:27" s="48" customFormat="1" ht="18" customHeight="1">
      <c r="A219" s="159">
        <v>0</v>
      </c>
      <c r="B219" s="160"/>
      <c r="C219" s="160"/>
      <c r="D219" s="161"/>
      <c r="E219" s="265" t="s">
        <v>154</v>
      </c>
      <c r="F219" s="160"/>
      <c r="G219" s="160"/>
      <c r="H219" s="160"/>
      <c r="I219" s="160"/>
      <c r="J219" s="160"/>
      <c r="K219" s="160"/>
      <c r="L219" s="160"/>
      <c r="M219" s="159" t="s">
        <v>925</v>
      </c>
      <c r="N219" s="160"/>
      <c r="O219" s="160"/>
      <c r="P219" s="160"/>
      <c r="Q219" s="160"/>
      <c r="R219" s="283" t="s">
        <v>153</v>
      </c>
      <c r="S219" s="156" t="s">
        <v>19</v>
      </c>
      <c r="T219" s="157">
        <v>8100</v>
      </c>
      <c r="U219" s="271">
        <v>0.24559292035398228</v>
      </c>
      <c r="V219" s="272"/>
      <c r="W219" s="288">
        <v>1989.3029999999999</v>
      </c>
      <c r="X219" s="289"/>
      <c r="Y219" s="273" t="s">
        <v>546</v>
      </c>
      <c r="Z219" s="240" t="s">
        <v>130</v>
      </c>
      <c r="AA219" s="48">
        <v>1989.3029999999999</v>
      </c>
    </row>
    <row r="220" spans="1:27" s="48" customFormat="1" ht="18" customHeight="1">
      <c r="A220" s="159">
        <v>0</v>
      </c>
      <c r="B220" s="160"/>
      <c r="C220" s="160"/>
      <c r="D220" s="161"/>
      <c r="E220" s="265" t="s">
        <v>826</v>
      </c>
      <c r="F220" s="160"/>
      <c r="G220" s="160"/>
      <c r="H220" s="160"/>
      <c r="I220" s="160"/>
      <c r="J220" s="160"/>
      <c r="K220" s="160"/>
      <c r="L220" s="160"/>
      <c r="M220" s="159" t="s">
        <v>925</v>
      </c>
      <c r="N220" s="160"/>
      <c r="O220" s="160"/>
      <c r="P220" s="160"/>
      <c r="Q220" s="160"/>
      <c r="R220" s="283" t="s">
        <v>606</v>
      </c>
      <c r="S220" s="156" t="s">
        <v>19</v>
      </c>
      <c r="T220" s="157">
        <v>2100</v>
      </c>
      <c r="U220" s="271">
        <v>0.49061946902654863</v>
      </c>
      <c r="V220" s="272"/>
      <c r="W220" s="288">
        <v>1030.3009999999999</v>
      </c>
      <c r="X220" s="289"/>
      <c r="Y220" s="273" t="s">
        <v>538</v>
      </c>
      <c r="Z220" s="240" t="s">
        <v>130</v>
      </c>
      <c r="AA220" s="48">
        <v>1030.3009999999999</v>
      </c>
    </row>
    <row r="221" spans="1:27" s="48" customFormat="1" ht="18" customHeight="1">
      <c r="A221" s="159">
        <v>0</v>
      </c>
      <c r="B221" s="160"/>
      <c r="C221" s="160"/>
      <c r="D221" s="161"/>
      <c r="E221" s="265" t="s">
        <v>827</v>
      </c>
      <c r="F221" s="160"/>
      <c r="G221" s="160"/>
      <c r="H221" s="160"/>
      <c r="I221" s="160"/>
      <c r="J221" s="160"/>
      <c r="K221" s="160"/>
      <c r="L221" s="160"/>
      <c r="M221" s="159" t="s">
        <v>925</v>
      </c>
      <c r="N221" s="160"/>
      <c r="O221" s="160"/>
      <c r="P221" s="160"/>
      <c r="Q221" s="160"/>
      <c r="R221" s="283" t="s">
        <v>607</v>
      </c>
      <c r="S221" s="156" t="s">
        <v>19</v>
      </c>
      <c r="T221" s="157">
        <v>2300</v>
      </c>
      <c r="U221" s="271">
        <v>0.14309734513274336</v>
      </c>
      <c r="V221" s="272"/>
      <c r="W221" s="288">
        <v>329.12399999999997</v>
      </c>
      <c r="X221" s="289"/>
      <c r="Y221" s="273" t="s">
        <v>538</v>
      </c>
      <c r="Z221" s="240" t="s">
        <v>130</v>
      </c>
      <c r="AA221" s="48">
        <v>329.12399999999997</v>
      </c>
    </row>
    <row r="222" spans="1:27" s="48" customFormat="1" ht="18" customHeight="1">
      <c r="A222" s="159">
        <v>0</v>
      </c>
      <c r="B222" s="160"/>
      <c r="C222" s="160"/>
      <c r="D222" s="161"/>
      <c r="E222" s="265" t="s">
        <v>828</v>
      </c>
      <c r="F222" s="160"/>
      <c r="G222" s="160"/>
      <c r="H222" s="160"/>
      <c r="I222" s="160"/>
      <c r="J222" s="160"/>
      <c r="K222" s="160"/>
      <c r="L222" s="160"/>
      <c r="M222" s="159" t="s">
        <v>925</v>
      </c>
      <c r="N222" s="160"/>
      <c r="O222" s="160"/>
      <c r="P222" s="160"/>
      <c r="Q222" s="160"/>
      <c r="R222" s="283" t="s">
        <v>594</v>
      </c>
      <c r="S222" s="156" t="s">
        <v>19</v>
      </c>
      <c r="T222" s="157">
        <v>2418</v>
      </c>
      <c r="U222" s="271">
        <v>0.30663716814159292</v>
      </c>
      <c r="V222" s="272"/>
      <c r="W222" s="288">
        <v>741.44899999999996</v>
      </c>
      <c r="X222" s="289"/>
      <c r="Y222" s="273" t="s">
        <v>538</v>
      </c>
      <c r="Z222" s="240" t="s">
        <v>130</v>
      </c>
      <c r="AA222" s="48">
        <v>741.44899999999996</v>
      </c>
    </row>
    <row r="223" spans="1:27" s="48" customFormat="1" ht="18" customHeight="1">
      <c r="A223" s="159">
        <v>0</v>
      </c>
      <c r="B223" s="160"/>
      <c r="C223" s="160"/>
      <c r="D223" s="161"/>
      <c r="E223" s="265" t="s">
        <v>829</v>
      </c>
      <c r="F223" s="160"/>
      <c r="G223" s="160"/>
      <c r="H223" s="160"/>
      <c r="I223" s="160"/>
      <c r="J223" s="160"/>
      <c r="K223" s="160"/>
      <c r="L223" s="160"/>
      <c r="M223" s="159" t="s">
        <v>925</v>
      </c>
      <c r="N223" s="160"/>
      <c r="O223" s="160"/>
      <c r="P223" s="160"/>
      <c r="Q223" s="160"/>
      <c r="R223" s="283" t="s">
        <v>604</v>
      </c>
      <c r="S223" s="156" t="s">
        <v>19</v>
      </c>
      <c r="T223" s="157">
        <v>1501</v>
      </c>
      <c r="U223" s="271">
        <v>2.4280088495575223</v>
      </c>
      <c r="V223" s="272"/>
      <c r="W223" s="288">
        <v>3644.442</v>
      </c>
      <c r="X223" s="289"/>
      <c r="Y223" s="273" t="s">
        <v>538</v>
      </c>
      <c r="Z223" s="240" t="s">
        <v>130</v>
      </c>
      <c r="AA223" s="48">
        <v>3644.442</v>
      </c>
    </row>
    <row r="224" spans="1:27" s="48" customFormat="1" ht="18" customHeight="1">
      <c r="A224" s="159">
        <v>0</v>
      </c>
      <c r="B224" s="160"/>
      <c r="C224" s="160"/>
      <c r="D224" s="161"/>
      <c r="E224" s="265" t="s">
        <v>188</v>
      </c>
      <c r="F224" s="160"/>
      <c r="G224" s="160"/>
      <c r="H224" s="160"/>
      <c r="I224" s="160"/>
      <c r="J224" s="160"/>
      <c r="K224" s="160"/>
      <c r="L224" s="160"/>
      <c r="M224" s="159" t="s">
        <v>925</v>
      </c>
      <c r="N224" s="160"/>
      <c r="O224" s="160"/>
      <c r="P224" s="160"/>
      <c r="Q224" s="160"/>
      <c r="R224" s="283" t="s">
        <v>187</v>
      </c>
      <c r="S224" s="156" t="s">
        <v>19</v>
      </c>
      <c r="T224" s="157">
        <v>300</v>
      </c>
      <c r="U224" s="271">
        <v>0.21836283185840707</v>
      </c>
      <c r="V224" s="272"/>
      <c r="W224" s="288">
        <v>65.509</v>
      </c>
      <c r="X224" s="289"/>
      <c r="Y224" s="273" t="s">
        <v>538</v>
      </c>
      <c r="Z224" s="240" t="s">
        <v>130</v>
      </c>
      <c r="AA224" s="48">
        <v>65.509</v>
      </c>
    </row>
    <row r="225" spans="1:27" s="48" customFormat="1" ht="18" customHeight="1">
      <c r="A225" s="159">
        <v>0</v>
      </c>
      <c r="B225" s="160"/>
      <c r="C225" s="160"/>
      <c r="D225" s="161"/>
      <c r="E225" s="265" t="s">
        <v>444</v>
      </c>
      <c r="F225" s="160"/>
      <c r="G225" s="160"/>
      <c r="H225" s="160"/>
      <c r="I225" s="160"/>
      <c r="J225" s="160"/>
      <c r="K225" s="160"/>
      <c r="L225" s="160"/>
      <c r="M225" s="159" t="s">
        <v>934</v>
      </c>
      <c r="N225" s="160"/>
      <c r="O225" s="160"/>
      <c r="P225" s="160"/>
      <c r="Q225" s="160"/>
      <c r="R225" s="283" t="s">
        <v>368</v>
      </c>
      <c r="S225" s="156" t="s">
        <v>19</v>
      </c>
      <c r="T225" s="157">
        <v>2400</v>
      </c>
      <c r="U225" s="271">
        <v>0.35309734513274338</v>
      </c>
      <c r="V225" s="272"/>
      <c r="W225" s="288">
        <v>847.43399999999997</v>
      </c>
      <c r="X225" s="289"/>
      <c r="Y225" s="273" t="s">
        <v>538</v>
      </c>
      <c r="Z225" s="240" t="s">
        <v>130</v>
      </c>
      <c r="AA225" s="48">
        <v>847.43399999999997</v>
      </c>
    </row>
    <row r="226" spans="1:27" s="48" customFormat="1" ht="18" customHeight="1">
      <c r="A226" s="159">
        <v>0</v>
      </c>
      <c r="B226" s="160"/>
      <c r="C226" s="160"/>
      <c r="D226" s="161"/>
      <c r="E226" s="265" t="s">
        <v>29</v>
      </c>
      <c r="F226" s="160"/>
      <c r="G226" s="160"/>
      <c r="H226" s="160"/>
      <c r="I226" s="160"/>
      <c r="J226" s="160"/>
      <c r="K226" s="160"/>
      <c r="L226" s="160"/>
      <c r="M226" s="159" t="s">
        <v>934</v>
      </c>
      <c r="N226" s="160"/>
      <c r="O226" s="160"/>
      <c r="P226" s="160"/>
      <c r="Q226" s="160"/>
      <c r="R226" s="283">
        <v>10400310370</v>
      </c>
      <c r="S226" s="156" t="s">
        <v>19</v>
      </c>
      <c r="T226" s="157">
        <v>1550</v>
      </c>
      <c r="U226" s="271">
        <v>0.2843362831858407</v>
      </c>
      <c r="V226" s="272"/>
      <c r="W226" s="288">
        <v>440.72199999999998</v>
      </c>
      <c r="X226" s="289"/>
      <c r="Y226" s="273" t="s">
        <v>541</v>
      </c>
      <c r="Z226" s="240" t="s">
        <v>127</v>
      </c>
      <c r="AA226" s="48">
        <v>440.72199999999998</v>
      </c>
    </row>
    <row r="227" spans="1:27" s="48" customFormat="1" ht="18" customHeight="1">
      <c r="A227" s="159">
        <v>0</v>
      </c>
      <c r="B227" s="160"/>
      <c r="C227" s="160"/>
      <c r="D227" s="161"/>
      <c r="E227" s="265" t="s">
        <v>42</v>
      </c>
      <c r="F227" s="160"/>
      <c r="G227" s="160"/>
      <c r="H227" s="160"/>
      <c r="I227" s="160"/>
      <c r="J227" s="160"/>
      <c r="K227" s="160"/>
      <c r="L227" s="160"/>
      <c r="M227" s="159" t="s">
        <v>925</v>
      </c>
      <c r="N227" s="160"/>
      <c r="O227" s="160"/>
      <c r="P227" s="160"/>
      <c r="Q227" s="160"/>
      <c r="R227" s="283" t="s">
        <v>99</v>
      </c>
      <c r="S227" s="156" t="s">
        <v>19</v>
      </c>
      <c r="T227" s="157">
        <v>2000</v>
      </c>
      <c r="U227" s="271">
        <v>0.69225663716814156</v>
      </c>
      <c r="V227" s="272"/>
      <c r="W227" s="288">
        <v>1384.5139999999999</v>
      </c>
      <c r="X227" s="289"/>
      <c r="Y227" s="273" t="s">
        <v>543</v>
      </c>
      <c r="Z227" s="240" t="s">
        <v>129</v>
      </c>
      <c r="AA227" s="48">
        <v>1384.5139999999999</v>
      </c>
    </row>
    <row r="228" spans="1:27" s="48" customFormat="1" ht="18" customHeight="1">
      <c r="A228" s="159">
        <v>0</v>
      </c>
      <c r="B228" s="160"/>
      <c r="C228" s="160"/>
      <c r="D228" s="161"/>
      <c r="E228" s="265" t="s">
        <v>45</v>
      </c>
      <c r="F228" s="160"/>
      <c r="G228" s="160"/>
      <c r="H228" s="160"/>
      <c r="I228" s="160"/>
      <c r="J228" s="160"/>
      <c r="K228" s="160"/>
      <c r="L228" s="160"/>
      <c r="M228" s="159" t="s">
        <v>925</v>
      </c>
      <c r="N228" s="160"/>
      <c r="O228" s="160"/>
      <c r="P228" s="160"/>
      <c r="Q228" s="160"/>
      <c r="R228" s="283" t="s">
        <v>71</v>
      </c>
      <c r="S228" s="156" t="s">
        <v>19</v>
      </c>
      <c r="T228" s="157">
        <v>365</v>
      </c>
      <c r="U228" s="271">
        <v>0.41535398230088499</v>
      </c>
      <c r="V228" s="272"/>
      <c r="W228" s="288">
        <v>151.60500000000002</v>
      </c>
      <c r="X228" s="289"/>
      <c r="Y228" s="273" t="s">
        <v>540</v>
      </c>
      <c r="Z228" s="240" t="s">
        <v>130</v>
      </c>
      <c r="AA228" s="48">
        <v>151.60500000000002</v>
      </c>
    </row>
    <row r="229" spans="1:27" s="48" customFormat="1" ht="18" customHeight="1">
      <c r="A229" s="159">
        <v>0</v>
      </c>
      <c r="B229" s="160"/>
      <c r="C229" s="160"/>
      <c r="D229" s="161"/>
      <c r="E229" s="265" t="s">
        <v>465</v>
      </c>
      <c r="F229" s="160"/>
      <c r="G229" s="160"/>
      <c r="H229" s="160"/>
      <c r="I229" s="160"/>
      <c r="J229" s="160"/>
      <c r="K229" s="160"/>
      <c r="L229" s="160"/>
      <c r="M229" s="159" t="s">
        <v>934</v>
      </c>
      <c r="N229" s="160"/>
      <c r="O229" s="160"/>
      <c r="P229" s="160"/>
      <c r="Q229" s="160"/>
      <c r="R229" s="283" t="s">
        <v>389</v>
      </c>
      <c r="S229" s="156" t="s">
        <v>19</v>
      </c>
      <c r="T229" s="157">
        <v>2100</v>
      </c>
      <c r="U229" s="271">
        <v>0.73407079646017703</v>
      </c>
      <c r="V229" s="272"/>
      <c r="W229" s="288">
        <v>1541.549</v>
      </c>
      <c r="X229" s="289"/>
      <c r="Y229" s="273" t="s">
        <v>538</v>
      </c>
      <c r="Z229" s="240" t="s">
        <v>512</v>
      </c>
      <c r="AA229" s="48">
        <v>1541.549</v>
      </c>
    </row>
    <row r="230" spans="1:27" s="48" customFormat="1" ht="18" customHeight="1">
      <c r="A230" s="159">
        <v>0</v>
      </c>
      <c r="B230" s="160"/>
      <c r="C230" s="160"/>
      <c r="D230" s="161"/>
      <c r="E230" s="265" t="s">
        <v>830</v>
      </c>
      <c r="F230" s="160"/>
      <c r="G230" s="160"/>
      <c r="H230" s="160"/>
      <c r="I230" s="160"/>
      <c r="J230" s="160"/>
      <c r="K230" s="160"/>
      <c r="L230" s="160"/>
      <c r="M230" s="159" t="s">
        <v>935</v>
      </c>
      <c r="N230" s="160"/>
      <c r="O230" s="160"/>
      <c r="P230" s="160"/>
      <c r="Q230" s="160"/>
      <c r="R230" s="283" t="s">
        <v>622</v>
      </c>
      <c r="S230" s="156" t="s">
        <v>19</v>
      </c>
      <c r="T230" s="157">
        <v>800</v>
      </c>
      <c r="U230" s="271">
        <v>0.98123893805309725</v>
      </c>
      <c r="V230" s="272"/>
      <c r="W230" s="288">
        <v>784.99199999999996</v>
      </c>
      <c r="X230" s="289"/>
      <c r="Y230" s="273" t="s">
        <v>538</v>
      </c>
      <c r="Z230" s="240" t="s">
        <v>127</v>
      </c>
      <c r="AA230" s="48">
        <v>784.99199999999996</v>
      </c>
    </row>
    <row r="231" spans="1:27" s="48" customFormat="1" ht="18" customHeight="1">
      <c r="A231" s="159">
        <v>0</v>
      </c>
      <c r="B231" s="160"/>
      <c r="C231" s="160"/>
      <c r="D231" s="161"/>
      <c r="E231" s="265" t="s">
        <v>464</v>
      </c>
      <c r="F231" s="160"/>
      <c r="G231" s="160"/>
      <c r="H231" s="160"/>
      <c r="I231" s="160"/>
      <c r="J231" s="160"/>
      <c r="K231" s="160"/>
      <c r="L231" s="160"/>
      <c r="M231" s="159" t="s">
        <v>934</v>
      </c>
      <c r="N231" s="160"/>
      <c r="O231" s="160"/>
      <c r="P231" s="160"/>
      <c r="Q231" s="160"/>
      <c r="R231" s="283" t="s">
        <v>388</v>
      </c>
      <c r="S231" s="156" t="s">
        <v>19</v>
      </c>
      <c r="T231" s="157">
        <v>1340</v>
      </c>
      <c r="U231" s="271">
        <v>0.78331858407079646</v>
      </c>
      <c r="V231" s="272"/>
      <c r="W231" s="288">
        <v>1049.6469999999999</v>
      </c>
      <c r="X231" s="289"/>
      <c r="Y231" s="273" t="s">
        <v>538</v>
      </c>
      <c r="Z231" s="240" t="s">
        <v>512</v>
      </c>
      <c r="AA231" s="48">
        <v>1049.6469999999999</v>
      </c>
    </row>
    <row r="232" spans="1:27" s="48" customFormat="1" ht="18" customHeight="1">
      <c r="A232" s="159">
        <v>0</v>
      </c>
      <c r="B232" s="160"/>
      <c r="C232" s="160"/>
      <c r="D232" s="161"/>
      <c r="E232" s="265" t="s">
        <v>831</v>
      </c>
      <c r="F232" s="160"/>
      <c r="G232" s="160"/>
      <c r="H232" s="160"/>
      <c r="I232" s="160"/>
      <c r="J232" s="160"/>
      <c r="K232" s="160"/>
      <c r="L232" s="160"/>
      <c r="M232" s="159" t="s">
        <v>925</v>
      </c>
      <c r="N232" s="160"/>
      <c r="O232" s="160"/>
      <c r="P232" s="160"/>
      <c r="Q232" s="160"/>
      <c r="R232" s="283" t="s">
        <v>647</v>
      </c>
      <c r="S232" s="156" t="s">
        <v>19</v>
      </c>
      <c r="T232" s="157">
        <v>1960</v>
      </c>
      <c r="U232" s="271">
        <v>1.0685840707964602</v>
      </c>
      <c r="V232" s="272"/>
      <c r="W232" s="288">
        <v>2094.4250000000002</v>
      </c>
      <c r="X232" s="289"/>
      <c r="Y232" s="273" t="s">
        <v>542</v>
      </c>
      <c r="Z232" s="240" t="s">
        <v>197</v>
      </c>
      <c r="AA232" s="48">
        <v>2094.4250000000002</v>
      </c>
    </row>
    <row r="233" spans="1:27" s="48" customFormat="1" ht="18" customHeight="1">
      <c r="A233" s="159">
        <v>0</v>
      </c>
      <c r="B233" s="160"/>
      <c r="C233" s="160"/>
      <c r="D233" s="161"/>
      <c r="E233" s="265" t="s">
        <v>186</v>
      </c>
      <c r="F233" s="160"/>
      <c r="G233" s="160"/>
      <c r="H233" s="160"/>
      <c r="I233" s="160"/>
      <c r="J233" s="160"/>
      <c r="K233" s="160"/>
      <c r="L233" s="160"/>
      <c r="M233" s="159" t="s">
        <v>927</v>
      </c>
      <c r="N233" s="160"/>
      <c r="O233" s="160"/>
      <c r="P233" s="160"/>
      <c r="Q233" s="160"/>
      <c r="R233" s="283" t="s">
        <v>185</v>
      </c>
      <c r="S233" s="156" t="s">
        <v>19</v>
      </c>
      <c r="T233" s="157">
        <v>2500</v>
      </c>
      <c r="U233" s="271">
        <v>3.7168141592920353E-2</v>
      </c>
      <c r="V233" s="272"/>
      <c r="W233" s="288">
        <v>92.921000000000006</v>
      </c>
      <c r="X233" s="289"/>
      <c r="Y233" s="273" t="s">
        <v>541</v>
      </c>
      <c r="Z233" s="240" t="s">
        <v>125</v>
      </c>
      <c r="AA233" s="48">
        <v>92.921000000000006</v>
      </c>
    </row>
    <row r="234" spans="1:27" s="48" customFormat="1" ht="18" customHeight="1">
      <c r="A234" s="159">
        <v>0</v>
      </c>
      <c r="B234" s="160"/>
      <c r="C234" s="160"/>
      <c r="D234" s="161"/>
      <c r="E234" s="265" t="s">
        <v>346</v>
      </c>
      <c r="F234" s="160"/>
      <c r="G234" s="160"/>
      <c r="H234" s="160"/>
      <c r="I234" s="160"/>
      <c r="J234" s="160"/>
      <c r="K234" s="160"/>
      <c r="L234" s="160"/>
      <c r="M234" s="159" t="s">
        <v>927</v>
      </c>
      <c r="N234" s="160"/>
      <c r="O234" s="160"/>
      <c r="P234" s="160"/>
      <c r="Q234" s="160"/>
      <c r="R234" s="283" t="s">
        <v>345</v>
      </c>
      <c r="S234" s="156" t="s">
        <v>19</v>
      </c>
      <c r="T234" s="157">
        <v>1500</v>
      </c>
      <c r="U234" s="271">
        <v>4.088495575221239E-2</v>
      </c>
      <c r="V234" s="272"/>
      <c r="W234" s="288">
        <v>61.327999999999996</v>
      </c>
      <c r="X234" s="289"/>
      <c r="Y234" s="273" t="s">
        <v>538</v>
      </c>
      <c r="Z234" s="240" t="s">
        <v>125</v>
      </c>
      <c r="AA234" s="48">
        <v>61.327999999999996</v>
      </c>
    </row>
    <row r="235" spans="1:27" s="48" customFormat="1" ht="18" customHeight="1">
      <c r="A235" s="159">
        <v>0</v>
      </c>
      <c r="B235" s="160"/>
      <c r="C235" s="160"/>
      <c r="D235" s="161"/>
      <c r="E235" s="265" t="s">
        <v>460</v>
      </c>
      <c r="F235" s="160"/>
      <c r="G235" s="160"/>
      <c r="H235" s="160"/>
      <c r="I235" s="160"/>
      <c r="J235" s="160"/>
      <c r="K235" s="160"/>
      <c r="L235" s="160"/>
      <c r="M235" s="159" t="s">
        <v>927</v>
      </c>
      <c r="N235" s="160"/>
      <c r="O235" s="160"/>
      <c r="P235" s="160"/>
      <c r="Q235" s="160"/>
      <c r="R235" s="283" t="s">
        <v>384</v>
      </c>
      <c r="S235" s="156" t="s">
        <v>19</v>
      </c>
      <c r="T235" s="157">
        <v>2500</v>
      </c>
      <c r="U235" s="271">
        <v>2.3230088495575223E-2</v>
      </c>
      <c r="V235" s="272"/>
      <c r="W235" s="288">
        <v>58.076000000000001</v>
      </c>
      <c r="X235" s="289"/>
      <c r="Y235" s="273" t="s">
        <v>538</v>
      </c>
      <c r="Z235" s="240" t="s">
        <v>511</v>
      </c>
      <c r="AA235" s="48">
        <v>58.076000000000001</v>
      </c>
    </row>
    <row r="236" spans="1:27" s="48" customFormat="1" ht="18" customHeight="1">
      <c r="A236" s="159">
        <v>0</v>
      </c>
      <c r="B236" s="160"/>
      <c r="C236" s="160"/>
      <c r="D236" s="161"/>
      <c r="E236" s="265" t="s">
        <v>168</v>
      </c>
      <c r="F236" s="160"/>
      <c r="G236" s="160"/>
      <c r="H236" s="160"/>
      <c r="I236" s="160"/>
      <c r="J236" s="160"/>
      <c r="K236" s="160"/>
      <c r="L236" s="160"/>
      <c r="M236" s="159" t="s">
        <v>927</v>
      </c>
      <c r="N236" s="160"/>
      <c r="O236" s="160"/>
      <c r="P236" s="160"/>
      <c r="Q236" s="160"/>
      <c r="R236" s="283" t="s">
        <v>167</v>
      </c>
      <c r="S236" s="156" t="s">
        <v>19</v>
      </c>
      <c r="T236" s="157">
        <v>500</v>
      </c>
      <c r="U236" s="271">
        <v>3.2522123893805308E-2</v>
      </c>
      <c r="V236" s="272"/>
      <c r="W236" s="288">
        <v>16.262</v>
      </c>
      <c r="X236" s="289"/>
      <c r="Y236" s="273" t="s">
        <v>538</v>
      </c>
      <c r="Z236" s="240" t="s">
        <v>125</v>
      </c>
      <c r="AA236" s="48">
        <v>16.262</v>
      </c>
    </row>
    <row r="237" spans="1:27" s="48" customFormat="1" ht="18" customHeight="1">
      <c r="A237" s="159">
        <v>0</v>
      </c>
      <c r="B237" s="160"/>
      <c r="C237" s="160"/>
      <c r="D237" s="161"/>
      <c r="E237" s="265" t="s">
        <v>21</v>
      </c>
      <c r="F237" s="160"/>
      <c r="G237" s="160"/>
      <c r="H237" s="160"/>
      <c r="I237" s="160"/>
      <c r="J237" s="160"/>
      <c r="K237" s="160"/>
      <c r="L237" s="160"/>
      <c r="M237" s="159" t="s">
        <v>927</v>
      </c>
      <c r="N237" s="160"/>
      <c r="O237" s="160"/>
      <c r="P237" s="160"/>
      <c r="Q237" s="160"/>
      <c r="R237" s="283" t="s">
        <v>117</v>
      </c>
      <c r="S237" s="156" t="s">
        <v>19</v>
      </c>
      <c r="T237" s="157">
        <v>8000</v>
      </c>
      <c r="U237" s="271">
        <v>0.17097345132743361</v>
      </c>
      <c r="V237" s="272"/>
      <c r="W237" s="288">
        <v>1367.788</v>
      </c>
      <c r="X237" s="289"/>
      <c r="Y237" s="273" t="s">
        <v>545</v>
      </c>
      <c r="Z237" s="240" t="s">
        <v>125</v>
      </c>
      <c r="AA237" s="48">
        <v>1367.788</v>
      </c>
    </row>
    <row r="238" spans="1:27" s="48" customFormat="1" ht="18" customHeight="1">
      <c r="A238" s="159">
        <v>0</v>
      </c>
      <c r="B238" s="160"/>
      <c r="C238" s="160"/>
      <c r="D238" s="161"/>
      <c r="E238" s="265" t="s">
        <v>170</v>
      </c>
      <c r="F238" s="160"/>
      <c r="G238" s="160"/>
      <c r="H238" s="160"/>
      <c r="I238" s="160"/>
      <c r="J238" s="160"/>
      <c r="K238" s="160"/>
      <c r="L238" s="160"/>
      <c r="M238" s="159" t="s">
        <v>927</v>
      </c>
      <c r="N238" s="160"/>
      <c r="O238" s="160"/>
      <c r="P238" s="160"/>
      <c r="Q238" s="160"/>
      <c r="R238" s="283" t="s">
        <v>169</v>
      </c>
      <c r="S238" s="156" t="s">
        <v>19</v>
      </c>
      <c r="T238" s="157">
        <v>7000</v>
      </c>
      <c r="U238" s="271">
        <v>0.1672566371681416</v>
      </c>
      <c r="V238" s="272"/>
      <c r="W238" s="288">
        <v>1170.797</v>
      </c>
      <c r="X238" s="289"/>
      <c r="Y238" s="273" t="s">
        <v>545</v>
      </c>
      <c r="Z238" s="240" t="s">
        <v>125</v>
      </c>
      <c r="AA238" s="48">
        <v>1170.797</v>
      </c>
    </row>
    <row r="239" spans="1:27" s="48" customFormat="1" ht="18" customHeight="1">
      <c r="A239" s="159">
        <v>0</v>
      </c>
      <c r="B239" s="160"/>
      <c r="C239" s="160"/>
      <c r="D239" s="161"/>
      <c r="E239" s="265" t="s">
        <v>342</v>
      </c>
      <c r="F239" s="160"/>
      <c r="G239" s="160"/>
      <c r="H239" s="160"/>
      <c r="I239" s="160"/>
      <c r="J239" s="160"/>
      <c r="K239" s="160"/>
      <c r="L239" s="160"/>
      <c r="M239" s="159" t="s">
        <v>927</v>
      </c>
      <c r="N239" s="160"/>
      <c r="O239" s="160"/>
      <c r="P239" s="160"/>
      <c r="Q239" s="160"/>
      <c r="R239" s="283" t="s">
        <v>72</v>
      </c>
      <c r="S239" s="156" t="s">
        <v>19</v>
      </c>
      <c r="T239" s="157">
        <v>10000</v>
      </c>
      <c r="U239" s="271">
        <v>6.9690265486725661E-2</v>
      </c>
      <c r="V239" s="272"/>
      <c r="W239" s="288">
        <v>696.90300000000002</v>
      </c>
      <c r="X239" s="289"/>
      <c r="Y239" s="273" t="s">
        <v>545</v>
      </c>
      <c r="Z239" s="240" t="s">
        <v>125</v>
      </c>
      <c r="AA239" s="48">
        <v>696.90300000000002</v>
      </c>
    </row>
    <row r="240" spans="1:27" s="48" customFormat="1" ht="18" customHeight="1">
      <c r="A240" s="159">
        <v>0</v>
      </c>
      <c r="B240" s="160"/>
      <c r="C240" s="160"/>
      <c r="D240" s="161"/>
      <c r="E240" s="265" t="s">
        <v>455</v>
      </c>
      <c r="F240" s="160"/>
      <c r="G240" s="160"/>
      <c r="H240" s="160"/>
      <c r="I240" s="160"/>
      <c r="J240" s="160"/>
      <c r="K240" s="160"/>
      <c r="L240" s="160"/>
      <c r="M240" s="159" t="s">
        <v>927</v>
      </c>
      <c r="N240" s="160"/>
      <c r="O240" s="160"/>
      <c r="P240" s="160"/>
      <c r="Q240" s="160"/>
      <c r="R240" s="283" t="s">
        <v>379</v>
      </c>
      <c r="S240" s="156" t="s">
        <v>19</v>
      </c>
      <c r="T240" s="157">
        <v>12000</v>
      </c>
      <c r="U240" s="271">
        <v>1.3938053097345133E-2</v>
      </c>
      <c r="V240" s="272"/>
      <c r="W240" s="288">
        <v>167.25700000000001</v>
      </c>
      <c r="X240" s="289"/>
      <c r="Y240" s="273" t="s">
        <v>538</v>
      </c>
      <c r="Z240" s="240" t="s">
        <v>511</v>
      </c>
      <c r="AA240" s="48">
        <v>167.25700000000001</v>
      </c>
    </row>
    <row r="241" spans="1:27" s="48" customFormat="1" ht="18" customHeight="1">
      <c r="A241" s="159">
        <v>0</v>
      </c>
      <c r="B241" s="160"/>
      <c r="C241" s="160"/>
      <c r="D241" s="161"/>
      <c r="E241" s="265" t="s">
        <v>166</v>
      </c>
      <c r="F241" s="160"/>
      <c r="G241" s="160"/>
      <c r="H241" s="160"/>
      <c r="I241" s="160"/>
      <c r="J241" s="160"/>
      <c r="K241" s="160"/>
      <c r="L241" s="160"/>
      <c r="M241" s="159" t="s">
        <v>927</v>
      </c>
      <c r="N241" s="160"/>
      <c r="O241" s="160"/>
      <c r="P241" s="160"/>
      <c r="Q241" s="160"/>
      <c r="R241" s="283" t="s">
        <v>165</v>
      </c>
      <c r="S241" s="156" t="s">
        <v>19</v>
      </c>
      <c r="T241" s="157">
        <v>50000</v>
      </c>
      <c r="U241" s="271">
        <v>2.3230088495575223E-2</v>
      </c>
      <c r="V241" s="272"/>
      <c r="W241" s="288">
        <v>1161.5049999999999</v>
      </c>
      <c r="X241" s="289"/>
      <c r="Y241" s="273" t="s">
        <v>538</v>
      </c>
      <c r="Z241" s="240" t="s">
        <v>125</v>
      </c>
      <c r="AA241" s="48">
        <v>1161.5049999999999</v>
      </c>
    </row>
    <row r="242" spans="1:27" s="48" customFormat="1" ht="18" customHeight="1">
      <c r="A242" s="159">
        <v>0</v>
      </c>
      <c r="B242" s="160"/>
      <c r="C242" s="160"/>
      <c r="D242" s="161"/>
      <c r="E242" s="265" t="s">
        <v>809</v>
      </c>
      <c r="F242" s="160"/>
      <c r="G242" s="160"/>
      <c r="H242" s="160"/>
      <c r="I242" s="160"/>
      <c r="J242" s="160"/>
      <c r="K242" s="160"/>
      <c r="L242" s="160"/>
      <c r="M242" s="159" t="s">
        <v>925</v>
      </c>
      <c r="N242" s="160"/>
      <c r="O242" s="160"/>
      <c r="P242" s="160"/>
      <c r="Q242" s="160"/>
      <c r="R242" s="283" t="s">
        <v>663</v>
      </c>
      <c r="S242" s="156" t="s">
        <v>19</v>
      </c>
      <c r="T242" s="157">
        <v>1008</v>
      </c>
      <c r="U242" s="271">
        <v>3.8915044247787609</v>
      </c>
      <c r="V242" s="272"/>
      <c r="W242" s="288">
        <v>3922.6370000000002</v>
      </c>
      <c r="X242" s="289"/>
      <c r="Y242" s="273" t="s">
        <v>538</v>
      </c>
      <c r="Z242" s="240" t="s">
        <v>197</v>
      </c>
      <c r="AA242" s="48">
        <v>3922.6370000000002</v>
      </c>
    </row>
    <row r="243" spans="1:27" s="48" customFormat="1" ht="18" customHeight="1">
      <c r="A243" s="159">
        <v>0</v>
      </c>
      <c r="B243" s="160"/>
      <c r="C243" s="160"/>
      <c r="D243" s="161"/>
      <c r="E243" s="265" t="s">
        <v>809</v>
      </c>
      <c r="F243" s="160"/>
      <c r="G243" s="160"/>
      <c r="H243" s="160"/>
      <c r="I243" s="160"/>
      <c r="J243" s="160"/>
      <c r="K243" s="160"/>
      <c r="L243" s="160"/>
      <c r="M243" s="159" t="s">
        <v>925</v>
      </c>
      <c r="N243" s="160"/>
      <c r="O243" s="160"/>
      <c r="P243" s="160"/>
      <c r="Q243" s="160"/>
      <c r="R243" s="283" t="s">
        <v>664</v>
      </c>
      <c r="S243" s="156" t="s">
        <v>19</v>
      </c>
      <c r="T243" s="157">
        <v>1040</v>
      </c>
      <c r="U243" s="271">
        <v>0.87623893805309727</v>
      </c>
      <c r="V243" s="272"/>
      <c r="W243" s="288">
        <v>911.28899999999999</v>
      </c>
      <c r="X243" s="289"/>
      <c r="Y243" s="273" t="s">
        <v>538</v>
      </c>
      <c r="Z243" s="240" t="s">
        <v>197</v>
      </c>
      <c r="AA243" s="48">
        <v>911.28899999999999</v>
      </c>
    </row>
    <row r="244" spans="1:27" s="48" customFormat="1" ht="18" customHeight="1">
      <c r="A244" s="159">
        <v>0</v>
      </c>
      <c r="B244" s="160"/>
      <c r="C244" s="160"/>
      <c r="D244" s="161"/>
      <c r="E244" s="265" t="s">
        <v>809</v>
      </c>
      <c r="F244" s="160"/>
      <c r="G244" s="160"/>
      <c r="H244" s="160"/>
      <c r="I244" s="160"/>
      <c r="J244" s="160"/>
      <c r="K244" s="160"/>
      <c r="L244" s="160"/>
      <c r="M244" s="159" t="s">
        <v>925</v>
      </c>
      <c r="N244" s="160"/>
      <c r="O244" s="160"/>
      <c r="P244" s="160"/>
      <c r="Q244" s="160"/>
      <c r="R244" s="283" t="s">
        <v>712</v>
      </c>
      <c r="S244" s="156" t="s">
        <v>19</v>
      </c>
      <c r="T244" s="157">
        <v>420</v>
      </c>
      <c r="U244" s="271">
        <v>3.8915044247787609</v>
      </c>
      <c r="V244" s="272"/>
      <c r="W244" s="288">
        <v>1634.432</v>
      </c>
      <c r="X244" s="289"/>
      <c r="Y244" s="273" t="s">
        <v>538</v>
      </c>
      <c r="Z244" s="240" t="s">
        <v>197</v>
      </c>
      <c r="AA244" s="48">
        <v>1634.432</v>
      </c>
    </row>
    <row r="245" spans="1:27" s="48" customFormat="1" ht="18" customHeight="1">
      <c r="A245" s="159">
        <v>0</v>
      </c>
      <c r="B245" s="160"/>
      <c r="C245" s="160"/>
      <c r="D245" s="161"/>
      <c r="E245" s="265" t="s">
        <v>809</v>
      </c>
      <c r="F245" s="160"/>
      <c r="G245" s="160"/>
      <c r="H245" s="160"/>
      <c r="I245" s="160"/>
      <c r="J245" s="160"/>
      <c r="K245" s="160"/>
      <c r="L245" s="160"/>
      <c r="M245" s="159" t="s">
        <v>927</v>
      </c>
      <c r="N245" s="160"/>
      <c r="O245" s="160"/>
      <c r="P245" s="160"/>
      <c r="Q245" s="160"/>
      <c r="R245" s="283" t="s">
        <v>713</v>
      </c>
      <c r="S245" s="156" t="s">
        <v>19</v>
      </c>
      <c r="T245" s="157">
        <v>320</v>
      </c>
      <c r="U245" s="271">
        <v>0.89203539823008848</v>
      </c>
      <c r="V245" s="272"/>
      <c r="W245" s="288">
        <v>285.452</v>
      </c>
      <c r="X245" s="289"/>
      <c r="Y245" s="273" t="s">
        <v>538</v>
      </c>
      <c r="Z245" s="240" t="s">
        <v>197</v>
      </c>
      <c r="AA245" s="48">
        <v>285.452</v>
      </c>
    </row>
    <row r="246" spans="1:27" s="48" customFormat="1" ht="18" customHeight="1">
      <c r="A246" s="159">
        <v>0</v>
      </c>
      <c r="B246" s="160"/>
      <c r="C246" s="160"/>
      <c r="D246" s="161"/>
      <c r="E246" s="265" t="s">
        <v>469</v>
      </c>
      <c r="F246" s="160"/>
      <c r="G246" s="160"/>
      <c r="H246" s="160"/>
      <c r="I246" s="160"/>
      <c r="J246" s="160"/>
      <c r="K246" s="160"/>
      <c r="L246" s="160"/>
      <c r="M246" s="159" t="s">
        <v>932</v>
      </c>
      <c r="N246" s="160"/>
      <c r="O246" s="160"/>
      <c r="P246" s="160"/>
      <c r="Q246" s="160"/>
      <c r="R246" s="283" t="s">
        <v>510</v>
      </c>
      <c r="S246" s="156" t="s">
        <v>55</v>
      </c>
      <c r="T246" s="157">
        <v>300</v>
      </c>
      <c r="U246" s="271">
        <v>0.13807964601769912</v>
      </c>
      <c r="V246" s="272"/>
      <c r="W246" s="288">
        <v>41.423999999999999</v>
      </c>
      <c r="X246" s="289"/>
      <c r="Y246" s="273" t="s">
        <v>538</v>
      </c>
      <c r="Z246" s="240" t="s">
        <v>513</v>
      </c>
      <c r="AA246" s="48">
        <v>41.423999999999999</v>
      </c>
    </row>
    <row r="247" spans="1:27" s="48" customFormat="1" ht="18" customHeight="1">
      <c r="A247" s="159">
        <v>0</v>
      </c>
      <c r="B247" s="160"/>
      <c r="C247" s="160"/>
      <c r="D247" s="161"/>
      <c r="E247" s="265" t="s">
        <v>180</v>
      </c>
      <c r="F247" s="160"/>
      <c r="G247" s="160"/>
      <c r="H247" s="160"/>
      <c r="I247" s="160"/>
      <c r="J247" s="160"/>
      <c r="K247" s="160"/>
      <c r="L247" s="160"/>
      <c r="M247" s="159" t="s">
        <v>937</v>
      </c>
      <c r="N247" s="160"/>
      <c r="O247" s="160"/>
      <c r="P247" s="160"/>
      <c r="Q247" s="160"/>
      <c r="R247" s="283" t="s">
        <v>179</v>
      </c>
      <c r="S247" s="156" t="s">
        <v>19</v>
      </c>
      <c r="T247" s="157">
        <v>2112</v>
      </c>
      <c r="U247" s="271">
        <v>0.88274336283185839</v>
      </c>
      <c r="V247" s="272"/>
      <c r="W247" s="288">
        <v>1864.354</v>
      </c>
      <c r="X247" s="289"/>
      <c r="Y247" s="273" t="s">
        <v>538</v>
      </c>
      <c r="Z247" s="240" t="s">
        <v>125</v>
      </c>
      <c r="AA247" s="48">
        <v>1864.354</v>
      </c>
    </row>
    <row r="248" spans="1:27" s="48" customFormat="1" ht="18" customHeight="1">
      <c r="A248" s="159">
        <v>0</v>
      </c>
      <c r="B248" s="160"/>
      <c r="C248" s="160"/>
      <c r="D248" s="161"/>
      <c r="E248" s="265" t="s">
        <v>910</v>
      </c>
      <c r="F248" s="160"/>
      <c r="G248" s="160"/>
      <c r="H248" s="160"/>
      <c r="I248" s="160"/>
      <c r="J248" s="160"/>
      <c r="K248" s="160"/>
      <c r="L248" s="160"/>
      <c r="M248" s="159" t="s">
        <v>925</v>
      </c>
      <c r="N248" s="160"/>
      <c r="O248" s="160"/>
      <c r="P248" s="160"/>
      <c r="Q248" s="160"/>
      <c r="R248" s="283" t="s">
        <v>630</v>
      </c>
      <c r="S248" s="156" t="s">
        <v>19</v>
      </c>
      <c r="T248" s="157">
        <v>3480</v>
      </c>
      <c r="U248" s="271">
        <v>0.5324336283185841</v>
      </c>
      <c r="V248" s="272"/>
      <c r="W248" s="288">
        <v>1852.87</v>
      </c>
      <c r="X248" s="289"/>
      <c r="Y248" s="273" t="s">
        <v>538</v>
      </c>
      <c r="Z248" s="240" t="s">
        <v>125</v>
      </c>
      <c r="AA248" s="48">
        <v>1852.87</v>
      </c>
    </row>
    <row r="249" spans="1:27" s="48" customFormat="1" ht="18" customHeight="1">
      <c r="A249" s="159">
        <v>0</v>
      </c>
      <c r="B249" s="160"/>
      <c r="C249" s="160"/>
      <c r="D249" s="161"/>
      <c r="E249" s="265" t="s">
        <v>91</v>
      </c>
      <c r="F249" s="160"/>
      <c r="G249" s="160"/>
      <c r="H249" s="160"/>
      <c r="I249" s="160"/>
      <c r="J249" s="160"/>
      <c r="K249" s="160"/>
      <c r="L249" s="160"/>
      <c r="M249" s="159" t="s">
        <v>936</v>
      </c>
      <c r="N249" s="160"/>
      <c r="O249" s="160"/>
      <c r="P249" s="160"/>
      <c r="Q249" s="160"/>
      <c r="R249" s="283" t="s">
        <v>90</v>
      </c>
      <c r="S249" s="156" t="s">
        <v>19</v>
      </c>
      <c r="T249" s="157">
        <v>650</v>
      </c>
      <c r="U249" s="271">
        <v>0.72477876106194694</v>
      </c>
      <c r="V249" s="272"/>
      <c r="W249" s="288">
        <v>471.10699999999997</v>
      </c>
      <c r="X249" s="289"/>
      <c r="Y249" s="273" t="s">
        <v>538</v>
      </c>
      <c r="Z249" s="240" t="s">
        <v>125</v>
      </c>
      <c r="AA249" s="48">
        <v>471.10699999999997</v>
      </c>
    </row>
    <row r="250" spans="1:27" s="48" customFormat="1" ht="18" customHeight="1">
      <c r="A250" s="159">
        <v>0</v>
      </c>
      <c r="B250" s="160"/>
      <c r="C250" s="160"/>
      <c r="D250" s="161"/>
      <c r="E250" s="265" t="s">
        <v>832</v>
      </c>
      <c r="F250" s="160"/>
      <c r="G250" s="160"/>
      <c r="H250" s="160"/>
      <c r="I250" s="160"/>
      <c r="J250" s="160"/>
      <c r="K250" s="160"/>
      <c r="L250" s="160"/>
      <c r="M250" s="159" t="s">
        <v>925</v>
      </c>
      <c r="N250" s="160"/>
      <c r="O250" s="160"/>
      <c r="P250" s="160"/>
      <c r="Q250" s="160"/>
      <c r="R250" s="283" t="s">
        <v>632</v>
      </c>
      <c r="S250" s="156" t="s">
        <v>19</v>
      </c>
      <c r="T250" s="157">
        <v>1368</v>
      </c>
      <c r="U250" s="271">
        <v>0.96544247787610626</v>
      </c>
      <c r="V250" s="272"/>
      <c r="W250" s="288">
        <v>1320.7259999999999</v>
      </c>
      <c r="X250" s="289"/>
      <c r="Y250" s="273" t="s">
        <v>538</v>
      </c>
      <c r="Z250" s="240" t="s">
        <v>125</v>
      </c>
      <c r="AA250" s="48">
        <v>1320.7259999999999</v>
      </c>
    </row>
    <row r="251" spans="1:27" s="48" customFormat="1" ht="18" customHeight="1">
      <c r="A251" s="159">
        <v>0</v>
      </c>
      <c r="B251" s="160"/>
      <c r="C251" s="160"/>
      <c r="D251" s="161"/>
      <c r="E251" s="265" t="s">
        <v>833</v>
      </c>
      <c r="F251" s="160"/>
      <c r="G251" s="160"/>
      <c r="H251" s="160"/>
      <c r="I251" s="160"/>
      <c r="J251" s="160"/>
      <c r="K251" s="160"/>
      <c r="L251" s="160"/>
      <c r="M251" s="159" t="s">
        <v>925</v>
      </c>
      <c r="N251" s="160"/>
      <c r="O251" s="160"/>
      <c r="P251" s="160"/>
      <c r="Q251" s="160"/>
      <c r="R251" s="283" t="s">
        <v>631</v>
      </c>
      <c r="S251" s="156" t="s">
        <v>19</v>
      </c>
      <c r="T251" s="157">
        <v>2940</v>
      </c>
      <c r="U251" s="271">
        <v>1.1810176991150443</v>
      </c>
      <c r="V251" s="272"/>
      <c r="W251" s="288">
        <v>3472.1930000000002</v>
      </c>
      <c r="X251" s="289"/>
      <c r="Y251" s="273" t="s">
        <v>538</v>
      </c>
      <c r="Z251" s="240" t="s">
        <v>125</v>
      </c>
      <c r="AA251" s="48">
        <v>3472.1930000000002</v>
      </c>
    </row>
    <row r="252" spans="1:27" s="48" customFormat="1" ht="18" customHeight="1">
      <c r="A252" s="159">
        <v>0</v>
      </c>
      <c r="B252" s="160"/>
      <c r="C252" s="160"/>
      <c r="D252" s="161"/>
      <c r="E252" s="265" t="s">
        <v>834</v>
      </c>
      <c r="F252" s="160"/>
      <c r="G252" s="160"/>
      <c r="H252" s="160"/>
      <c r="I252" s="160"/>
      <c r="J252" s="160"/>
      <c r="K252" s="160"/>
      <c r="L252" s="160"/>
      <c r="M252" s="159" t="s">
        <v>925</v>
      </c>
      <c r="N252" s="160"/>
      <c r="O252" s="160"/>
      <c r="P252" s="160"/>
      <c r="Q252" s="160"/>
      <c r="R252" s="283" t="s">
        <v>688</v>
      </c>
      <c r="S252" s="156" t="s">
        <v>19</v>
      </c>
      <c r="T252" s="157">
        <v>300</v>
      </c>
      <c r="U252" s="271">
        <v>10.871681415929203</v>
      </c>
      <c r="V252" s="272"/>
      <c r="W252" s="288">
        <v>3261.5050000000001</v>
      </c>
      <c r="X252" s="289"/>
      <c r="Y252" s="273" t="s">
        <v>538</v>
      </c>
      <c r="Z252" s="240" t="s">
        <v>328</v>
      </c>
      <c r="AA252" s="48">
        <v>3261.5050000000001</v>
      </c>
    </row>
    <row r="253" spans="1:27" s="48" customFormat="1" ht="18" customHeight="1">
      <c r="A253" s="159">
        <v>0</v>
      </c>
      <c r="B253" s="160"/>
      <c r="C253" s="160"/>
      <c r="D253" s="161"/>
      <c r="E253" s="265" t="s">
        <v>835</v>
      </c>
      <c r="F253" s="160"/>
      <c r="G253" s="160"/>
      <c r="H253" s="160"/>
      <c r="I253" s="160"/>
      <c r="J253" s="160"/>
      <c r="K253" s="160"/>
      <c r="L253" s="160"/>
      <c r="M253" s="159" t="s">
        <v>938</v>
      </c>
      <c r="N253" s="160"/>
      <c r="O253" s="160"/>
      <c r="P253" s="160"/>
      <c r="Q253" s="160"/>
      <c r="R253" s="283" t="s">
        <v>633</v>
      </c>
      <c r="S253" s="156" t="s">
        <v>19</v>
      </c>
      <c r="T253" s="157">
        <v>3000</v>
      </c>
      <c r="U253" s="271">
        <v>4.7433628318584078E-3</v>
      </c>
      <c r="V253" s="272"/>
      <c r="W253" s="288">
        <v>14.231</v>
      </c>
      <c r="X253" s="289"/>
      <c r="Y253" s="273" t="s">
        <v>538</v>
      </c>
      <c r="Z253" s="240" t="s">
        <v>513</v>
      </c>
      <c r="AA253" s="48">
        <v>14.231</v>
      </c>
    </row>
    <row r="254" spans="1:27" s="48" customFormat="1" ht="18" customHeight="1">
      <c r="A254" s="159">
        <v>0</v>
      </c>
      <c r="B254" s="160"/>
      <c r="C254" s="160"/>
      <c r="D254" s="161"/>
      <c r="E254" s="265" t="s">
        <v>836</v>
      </c>
      <c r="F254" s="160"/>
      <c r="G254" s="160"/>
      <c r="H254" s="160"/>
      <c r="I254" s="160"/>
      <c r="J254" s="160"/>
      <c r="K254" s="160"/>
      <c r="L254" s="160"/>
      <c r="M254" s="159" t="s">
        <v>930</v>
      </c>
      <c r="N254" s="160"/>
      <c r="O254" s="160"/>
      <c r="P254" s="160"/>
      <c r="Q254" s="160"/>
      <c r="R254" s="283" t="s">
        <v>681</v>
      </c>
      <c r="S254" s="156" t="s">
        <v>19</v>
      </c>
      <c r="T254" s="157">
        <v>2000</v>
      </c>
      <c r="U254" s="271">
        <v>2.1371681415929201E-2</v>
      </c>
      <c r="V254" s="272"/>
      <c r="W254" s="288">
        <v>42.744</v>
      </c>
      <c r="X254" s="289"/>
      <c r="Y254" s="273" t="s">
        <v>538</v>
      </c>
      <c r="Z254" s="240" t="s">
        <v>125</v>
      </c>
      <c r="AA254" s="48">
        <v>42.744</v>
      </c>
    </row>
    <row r="255" spans="1:27" s="48" customFormat="1" ht="18" customHeight="1">
      <c r="A255" s="159">
        <v>0</v>
      </c>
      <c r="B255" s="160"/>
      <c r="C255" s="160"/>
      <c r="D255" s="161"/>
      <c r="E255" s="265" t="s">
        <v>79</v>
      </c>
      <c r="F255" s="160"/>
      <c r="G255" s="160"/>
      <c r="H255" s="160"/>
      <c r="I255" s="160"/>
      <c r="J255" s="160"/>
      <c r="K255" s="160"/>
      <c r="L255" s="160"/>
      <c r="M255" s="159" t="s">
        <v>930</v>
      </c>
      <c r="N255" s="160"/>
      <c r="O255" s="160"/>
      <c r="P255" s="160"/>
      <c r="Q255" s="160"/>
      <c r="R255" s="283" t="s">
        <v>78</v>
      </c>
      <c r="S255" s="156" t="s">
        <v>19</v>
      </c>
      <c r="T255" s="157">
        <v>3000</v>
      </c>
      <c r="U255" s="271">
        <v>2.1185840707964605E-2</v>
      </c>
      <c r="V255" s="272"/>
      <c r="W255" s="288">
        <v>63.558</v>
      </c>
      <c r="X255" s="289"/>
      <c r="Y255" s="273" t="s">
        <v>538</v>
      </c>
      <c r="Z255" s="240" t="s">
        <v>125</v>
      </c>
      <c r="AA255" s="48">
        <v>63.558</v>
      </c>
    </row>
    <row r="256" spans="1:27" s="48" customFormat="1" ht="18" customHeight="1">
      <c r="A256" s="159">
        <v>0</v>
      </c>
      <c r="B256" s="160"/>
      <c r="C256" s="160"/>
      <c r="D256" s="161"/>
      <c r="E256" s="265" t="s">
        <v>837</v>
      </c>
      <c r="F256" s="160"/>
      <c r="G256" s="160"/>
      <c r="H256" s="160"/>
      <c r="I256" s="160"/>
      <c r="J256" s="160"/>
      <c r="K256" s="160"/>
      <c r="L256" s="160"/>
      <c r="M256" s="159" t="s">
        <v>930</v>
      </c>
      <c r="N256" s="160"/>
      <c r="O256" s="160"/>
      <c r="P256" s="160"/>
      <c r="Q256" s="160"/>
      <c r="R256" s="283" t="s">
        <v>690</v>
      </c>
      <c r="S256" s="156" t="s">
        <v>19</v>
      </c>
      <c r="T256" s="157">
        <v>3000</v>
      </c>
      <c r="U256" s="271">
        <v>2.7973451327433629E-2</v>
      </c>
      <c r="V256" s="272"/>
      <c r="W256" s="288">
        <v>83.921000000000006</v>
      </c>
      <c r="X256" s="289"/>
      <c r="Y256" s="273" t="s">
        <v>538</v>
      </c>
      <c r="Z256" s="240" t="s">
        <v>125</v>
      </c>
      <c r="AA256" s="48">
        <v>83.921000000000006</v>
      </c>
    </row>
    <row r="257" spans="1:27" s="48" customFormat="1" ht="18" customHeight="1">
      <c r="A257" s="159">
        <v>0</v>
      </c>
      <c r="B257" s="160"/>
      <c r="C257" s="160"/>
      <c r="D257" s="161"/>
      <c r="E257" s="265" t="s">
        <v>838</v>
      </c>
      <c r="F257" s="160"/>
      <c r="G257" s="160"/>
      <c r="H257" s="160"/>
      <c r="I257" s="160"/>
      <c r="J257" s="160"/>
      <c r="K257" s="160"/>
      <c r="L257" s="160"/>
      <c r="M257" s="159" t="s">
        <v>928</v>
      </c>
      <c r="N257" s="160"/>
      <c r="O257" s="160"/>
      <c r="P257" s="160"/>
      <c r="Q257" s="160"/>
      <c r="R257" s="283" t="s">
        <v>711</v>
      </c>
      <c r="S257" s="156" t="s">
        <v>19</v>
      </c>
      <c r="T257" s="157">
        <v>10000</v>
      </c>
      <c r="U257" s="271">
        <v>4.4601769911504427E-3</v>
      </c>
      <c r="V257" s="272"/>
      <c r="W257" s="288">
        <v>44.601999999999997</v>
      </c>
      <c r="X257" s="289"/>
      <c r="Y257" s="273" t="s">
        <v>538</v>
      </c>
      <c r="Z257" s="240" t="s">
        <v>124</v>
      </c>
      <c r="AA257" s="48">
        <v>44.601999999999997</v>
      </c>
    </row>
    <row r="258" spans="1:27" s="48" customFormat="1" ht="18" customHeight="1">
      <c r="A258" s="159">
        <v>0</v>
      </c>
      <c r="B258" s="160"/>
      <c r="C258" s="160"/>
      <c r="D258" s="161"/>
      <c r="E258" s="265" t="s">
        <v>839</v>
      </c>
      <c r="F258" s="160"/>
      <c r="G258" s="160"/>
      <c r="H258" s="160"/>
      <c r="I258" s="160"/>
      <c r="J258" s="160"/>
      <c r="K258" s="160"/>
      <c r="L258" s="160"/>
      <c r="M258" s="159" t="s">
        <v>930</v>
      </c>
      <c r="N258" s="160"/>
      <c r="O258" s="160"/>
      <c r="P258" s="160"/>
      <c r="Q258" s="160"/>
      <c r="R258" s="283" t="s">
        <v>726</v>
      </c>
      <c r="S258" s="156" t="s">
        <v>19</v>
      </c>
      <c r="T258" s="157">
        <v>10000</v>
      </c>
      <c r="U258" s="271">
        <v>3.4752212389380532E-2</v>
      </c>
      <c r="V258" s="272"/>
      <c r="W258" s="288">
        <v>347.52299999999997</v>
      </c>
      <c r="X258" s="289"/>
      <c r="Y258" s="273" t="s">
        <v>538</v>
      </c>
      <c r="Z258" s="240" t="s">
        <v>125</v>
      </c>
      <c r="AA258" s="48">
        <v>347.52299999999997</v>
      </c>
    </row>
    <row r="259" spans="1:27" s="48" customFormat="1" ht="18" customHeight="1">
      <c r="A259" s="159">
        <v>0</v>
      </c>
      <c r="B259" s="160"/>
      <c r="C259" s="160"/>
      <c r="D259" s="161"/>
      <c r="E259" s="265" t="s">
        <v>448</v>
      </c>
      <c r="F259" s="160"/>
      <c r="G259" s="160"/>
      <c r="H259" s="160"/>
      <c r="I259" s="160"/>
      <c r="J259" s="160"/>
      <c r="K259" s="160"/>
      <c r="L259" s="160"/>
      <c r="M259" s="159" t="s">
        <v>930</v>
      </c>
      <c r="N259" s="160"/>
      <c r="O259" s="160"/>
      <c r="P259" s="160"/>
      <c r="Q259" s="160"/>
      <c r="R259" s="283" t="s">
        <v>372</v>
      </c>
      <c r="S259" s="156" t="s">
        <v>19</v>
      </c>
      <c r="T259" s="157">
        <v>1000</v>
      </c>
      <c r="U259" s="271">
        <v>1.5610619469026549E-2</v>
      </c>
      <c r="V259" s="272"/>
      <c r="W259" s="288">
        <v>15.610999999999999</v>
      </c>
      <c r="X259" s="289"/>
      <c r="Y259" s="273" t="s">
        <v>538</v>
      </c>
      <c r="Z259" s="240" t="s">
        <v>511</v>
      </c>
      <c r="AA259" s="48">
        <v>15.610999999999999</v>
      </c>
    </row>
    <row r="260" spans="1:27" s="48" customFormat="1" ht="18" customHeight="1">
      <c r="A260" s="159">
        <v>0</v>
      </c>
      <c r="B260" s="160"/>
      <c r="C260" s="160"/>
      <c r="D260" s="161"/>
      <c r="E260" s="265" t="s">
        <v>840</v>
      </c>
      <c r="F260" s="160"/>
      <c r="G260" s="160"/>
      <c r="H260" s="160"/>
      <c r="I260" s="160"/>
      <c r="J260" s="160"/>
      <c r="K260" s="160"/>
      <c r="L260" s="160"/>
      <c r="M260" s="159" t="s">
        <v>930</v>
      </c>
      <c r="N260" s="160"/>
      <c r="O260" s="160"/>
      <c r="P260" s="160"/>
      <c r="Q260" s="160"/>
      <c r="R260" s="283" t="s">
        <v>617</v>
      </c>
      <c r="S260" s="156" t="s">
        <v>19</v>
      </c>
      <c r="T260" s="157">
        <v>3000</v>
      </c>
      <c r="U260" s="271">
        <v>1.9513274336283186E-2</v>
      </c>
      <c r="V260" s="272"/>
      <c r="W260" s="288">
        <v>58.54</v>
      </c>
      <c r="X260" s="289"/>
      <c r="Y260" s="273" t="s">
        <v>538</v>
      </c>
      <c r="Z260" s="240" t="s">
        <v>125</v>
      </c>
      <c r="AA260" s="48">
        <v>58.54</v>
      </c>
    </row>
    <row r="261" spans="1:27" s="48" customFormat="1" ht="18" customHeight="1">
      <c r="A261" s="159">
        <v>0</v>
      </c>
      <c r="B261" s="160"/>
      <c r="C261" s="160"/>
      <c r="D261" s="161"/>
      <c r="E261" s="265" t="s">
        <v>171</v>
      </c>
      <c r="F261" s="160"/>
      <c r="G261" s="160"/>
      <c r="H261" s="160"/>
      <c r="I261" s="160"/>
      <c r="J261" s="160"/>
      <c r="K261" s="160"/>
      <c r="L261" s="160"/>
      <c r="M261" s="159" t="s">
        <v>928</v>
      </c>
      <c r="N261" s="160"/>
      <c r="O261" s="160"/>
      <c r="P261" s="160"/>
      <c r="Q261" s="160"/>
      <c r="R261" s="283" t="s">
        <v>619</v>
      </c>
      <c r="S261" s="156" t="s">
        <v>19</v>
      </c>
      <c r="T261" s="157">
        <v>1000</v>
      </c>
      <c r="U261" s="271">
        <v>9.550442477876106E-2</v>
      </c>
      <c r="V261" s="272"/>
      <c r="W261" s="288">
        <v>95.50500000000001</v>
      </c>
      <c r="X261" s="289"/>
      <c r="Y261" s="273" t="s">
        <v>538</v>
      </c>
      <c r="Z261" s="240" t="s">
        <v>130</v>
      </c>
      <c r="AA261" s="48">
        <v>95.50500000000001</v>
      </c>
    </row>
    <row r="262" spans="1:27" s="48" customFormat="1" ht="18" customHeight="1">
      <c r="A262" s="159">
        <v>0</v>
      </c>
      <c r="B262" s="160"/>
      <c r="C262" s="160"/>
      <c r="D262" s="161"/>
      <c r="E262" s="265" t="s">
        <v>34</v>
      </c>
      <c r="F262" s="160"/>
      <c r="G262" s="160"/>
      <c r="H262" s="160"/>
      <c r="I262" s="160"/>
      <c r="J262" s="160"/>
      <c r="K262" s="160"/>
      <c r="L262" s="160"/>
      <c r="M262" s="159" t="s">
        <v>928</v>
      </c>
      <c r="N262" s="160"/>
      <c r="O262" s="160"/>
      <c r="P262" s="160"/>
      <c r="Q262" s="160"/>
      <c r="R262" s="283" t="s">
        <v>68</v>
      </c>
      <c r="S262" s="156" t="s">
        <v>19</v>
      </c>
      <c r="T262" s="157">
        <v>200</v>
      </c>
      <c r="U262" s="271">
        <v>1.7654867256637168E-2</v>
      </c>
      <c r="V262" s="272"/>
      <c r="W262" s="288">
        <v>3.5309999999999997</v>
      </c>
      <c r="X262" s="289"/>
      <c r="Y262" s="273" t="s">
        <v>538</v>
      </c>
      <c r="Z262" s="240" t="s">
        <v>130</v>
      </c>
      <c r="AA262" s="48">
        <v>3.5309999999999997</v>
      </c>
    </row>
    <row r="263" spans="1:27" s="48" customFormat="1" ht="18" customHeight="1">
      <c r="A263" s="159">
        <v>0</v>
      </c>
      <c r="B263" s="160"/>
      <c r="C263" s="160"/>
      <c r="D263" s="161"/>
      <c r="E263" s="265" t="s">
        <v>438</v>
      </c>
      <c r="F263" s="160"/>
      <c r="G263" s="160"/>
      <c r="H263" s="160"/>
      <c r="I263" s="160"/>
      <c r="J263" s="160"/>
      <c r="K263" s="160"/>
      <c r="L263" s="160"/>
      <c r="M263" s="159" t="s">
        <v>927</v>
      </c>
      <c r="N263" s="160"/>
      <c r="O263" s="160"/>
      <c r="P263" s="160"/>
      <c r="Q263" s="160"/>
      <c r="R263" s="283" t="s">
        <v>362</v>
      </c>
      <c r="S263" s="156" t="s">
        <v>19</v>
      </c>
      <c r="T263" s="157">
        <v>600</v>
      </c>
      <c r="U263" s="271">
        <v>0.109</v>
      </c>
      <c r="V263" s="272"/>
      <c r="W263" s="288">
        <v>65.400000000000006</v>
      </c>
      <c r="X263" s="289"/>
      <c r="Y263" s="273" t="s">
        <v>538</v>
      </c>
      <c r="Z263" s="240" t="s">
        <v>511</v>
      </c>
      <c r="AA263" s="48">
        <v>65.400000000000006</v>
      </c>
    </row>
    <row r="264" spans="1:27" s="48" customFormat="1" ht="18" customHeight="1">
      <c r="A264" s="159">
        <v>0</v>
      </c>
      <c r="B264" s="160"/>
      <c r="C264" s="160"/>
      <c r="D264" s="161"/>
      <c r="E264" s="265" t="s">
        <v>841</v>
      </c>
      <c r="F264" s="160"/>
      <c r="G264" s="160"/>
      <c r="H264" s="160"/>
      <c r="I264" s="160"/>
      <c r="J264" s="160"/>
      <c r="K264" s="160"/>
      <c r="L264" s="160"/>
      <c r="M264" s="159" t="s">
        <v>930</v>
      </c>
      <c r="N264" s="160"/>
      <c r="O264" s="160"/>
      <c r="P264" s="160"/>
      <c r="Q264" s="160"/>
      <c r="R264" s="283" t="s">
        <v>685</v>
      </c>
      <c r="S264" s="156" t="s">
        <v>19</v>
      </c>
      <c r="T264" s="157">
        <v>1860</v>
      </c>
      <c r="U264" s="271">
        <v>1.966371681415929E-2</v>
      </c>
      <c r="V264" s="272"/>
      <c r="W264" s="288">
        <v>36.574999999999996</v>
      </c>
      <c r="X264" s="289"/>
      <c r="Y264" s="273" t="s">
        <v>538</v>
      </c>
      <c r="Z264" s="240" t="s">
        <v>125</v>
      </c>
      <c r="AA264" s="48">
        <v>36.574999999999996</v>
      </c>
    </row>
    <row r="265" spans="1:27" s="48" customFormat="1" ht="18" customHeight="1">
      <c r="A265" s="159">
        <v>0</v>
      </c>
      <c r="B265" s="160"/>
      <c r="C265" s="160"/>
      <c r="D265" s="161"/>
      <c r="E265" s="265" t="s">
        <v>441</v>
      </c>
      <c r="F265" s="160"/>
      <c r="G265" s="160"/>
      <c r="H265" s="160"/>
      <c r="I265" s="160"/>
      <c r="J265" s="160"/>
      <c r="K265" s="160"/>
      <c r="L265" s="160"/>
      <c r="M265" s="159" t="s">
        <v>927</v>
      </c>
      <c r="N265" s="160"/>
      <c r="O265" s="160"/>
      <c r="P265" s="160"/>
      <c r="Q265" s="160"/>
      <c r="R265" s="283" t="s">
        <v>365</v>
      </c>
      <c r="S265" s="156" t="s">
        <v>19</v>
      </c>
      <c r="T265" s="157">
        <v>2000</v>
      </c>
      <c r="U265" s="271">
        <v>3.1283185840707967E-2</v>
      </c>
      <c r="V265" s="272"/>
      <c r="W265" s="288">
        <v>62.567</v>
      </c>
      <c r="X265" s="289"/>
      <c r="Y265" s="273" t="s">
        <v>538</v>
      </c>
      <c r="Z265" s="240" t="s">
        <v>511</v>
      </c>
      <c r="AA265" s="48">
        <v>62.567</v>
      </c>
    </row>
    <row r="266" spans="1:27" s="48" customFormat="1" ht="18" customHeight="1">
      <c r="A266" s="159">
        <v>0</v>
      </c>
      <c r="B266" s="160"/>
      <c r="C266" s="160"/>
      <c r="D266" s="161"/>
      <c r="E266" s="265" t="s">
        <v>83</v>
      </c>
      <c r="F266" s="160"/>
      <c r="G266" s="160"/>
      <c r="H266" s="160"/>
      <c r="I266" s="160"/>
      <c r="J266" s="160"/>
      <c r="K266" s="160"/>
      <c r="L266" s="160"/>
      <c r="M266" s="159" t="s">
        <v>928</v>
      </c>
      <c r="N266" s="160"/>
      <c r="O266" s="160"/>
      <c r="P266" s="160"/>
      <c r="Q266" s="160"/>
      <c r="R266" s="283" t="s">
        <v>82</v>
      </c>
      <c r="S266" s="156" t="s">
        <v>19</v>
      </c>
      <c r="T266" s="157">
        <v>200</v>
      </c>
      <c r="U266" s="271">
        <v>3.7911504424778766E-2</v>
      </c>
      <c r="V266" s="272"/>
      <c r="W266" s="288">
        <v>7.5830000000000002</v>
      </c>
      <c r="X266" s="289"/>
      <c r="Y266" s="273" t="s">
        <v>538</v>
      </c>
      <c r="Z266" s="240" t="s">
        <v>130</v>
      </c>
      <c r="AA266" s="48">
        <v>7.5830000000000002</v>
      </c>
    </row>
    <row r="267" spans="1:27" s="48" customFormat="1" ht="18" customHeight="1">
      <c r="A267" s="159">
        <v>0</v>
      </c>
      <c r="B267" s="160"/>
      <c r="C267" s="160"/>
      <c r="D267" s="161"/>
      <c r="E267" s="265" t="s">
        <v>461</v>
      </c>
      <c r="F267" s="160"/>
      <c r="G267" s="160"/>
      <c r="H267" s="160"/>
      <c r="I267" s="160"/>
      <c r="J267" s="160"/>
      <c r="K267" s="160"/>
      <c r="L267" s="160"/>
      <c r="M267" s="159" t="s">
        <v>927</v>
      </c>
      <c r="N267" s="160"/>
      <c r="O267" s="160"/>
      <c r="P267" s="160"/>
      <c r="Q267" s="160"/>
      <c r="R267" s="283" t="s">
        <v>385</v>
      </c>
      <c r="S267" s="156" t="s">
        <v>19</v>
      </c>
      <c r="T267" s="157">
        <v>2000</v>
      </c>
      <c r="U267" s="271">
        <v>5.2035398230088493E-2</v>
      </c>
      <c r="V267" s="272"/>
      <c r="W267" s="288">
        <v>104.071</v>
      </c>
      <c r="X267" s="289"/>
      <c r="Y267" s="273" t="s">
        <v>538</v>
      </c>
      <c r="Z267" s="240" t="s">
        <v>511</v>
      </c>
      <c r="AA267" s="48">
        <v>104.071</v>
      </c>
    </row>
    <row r="268" spans="1:27" s="48" customFormat="1" ht="18" customHeight="1">
      <c r="A268" s="159">
        <v>0</v>
      </c>
      <c r="B268" s="160"/>
      <c r="C268" s="160"/>
      <c r="D268" s="161"/>
      <c r="E268" s="265" t="s">
        <v>842</v>
      </c>
      <c r="F268" s="160"/>
      <c r="G268" s="160"/>
      <c r="H268" s="160"/>
      <c r="I268" s="160"/>
      <c r="J268" s="160"/>
      <c r="K268" s="160"/>
      <c r="L268" s="160"/>
      <c r="M268" s="159" t="s">
        <v>928</v>
      </c>
      <c r="N268" s="160"/>
      <c r="O268" s="160"/>
      <c r="P268" s="160"/>
      <c r="Q268" s="160"/>
      <c r="R268" s="283" t="s">
        <v>680</v>
      </c>
      <c r="S268" s="156" t="s">
        <v>19</v>
      </c>
      <c r="T268" s="157">
        <v>7500</v>
      </c>
      <c r="U268" s="271">
        <v>0.18584070796460178</v>
      </c>
      <c r="V268" s="272"/>
      <c r="W268" s="288">
        <v>1393.806</v>
      </c>
      <c r="X268" s="289"/>
      <c r="Y268" s="273" t="s">
        <v>538</v>
      </c>
      <c r="Z268" s="240" t="s">
        <v>197</v>
      </c>
      <c r="AA268" s="48">
        <v>1393.806</v>
      </c>
    </row>
    <row r="269" spans="1:27" s="48" customFormat="1" ht="18" customHeight="1">
      <c r="A269" s="159">
        <v>0</v>
      </c>
      <c r="B269" s="160"/>
      <c r="C269" s="160"/>
      <c r="D269" s="161"/>
      <c r="E269" s="265" t="s">
        <v>843</v>
      </c>
      <c r="F269" s="160"/>
      <c r="G269" s="160"/>
      <c r="H269" s="160"/>
      <c r="I269" s="160"/>
      <c r="J269" s="160"/>
      <c r="K269" s="160"/>
      <c r="L269" s="160"/>
      <c r="M269" s="159" t="s">
        <v>925</v>
      </c>
      <c r="N269" s="160"/>
      <c r="O269" s="160"/>
      <c r="P269" s="160"/>
      <c r="Q269" s="160"/>
      <c r="R269" s="283" t="s">
        <v>641</v>
      </c>
      <c r="S269" s="156" t="s">
        <v>19</v>
      </c>
      <c r="T269" s="157">
        <v>3200</v>
      </c>
      <c r="U269" s="271">
        <v>4.7017699115044248E-2</v>
      </c>
      <c r="V269" s="272"/>
      <c r="W269" s="288">
        <v>150.45699999999999</v>
      </c>
      <c r="X269" s="289"/>
      <c r="Y269" s="273" t="s">
        <v>538</v>
      </c>
      <c r="Z269" s="240" t="s">
        <v>130</v>
      </c>
      <c r="AA269" s="48">
        <v>150.45699999999999</v>
      </c>
    </row>
    <row r="270" spans="1:27" s="48" customFormat="1" ht="18" customHeight="1">
      <c r="A270" s="159">
        <v>0</v>
      </c>
      <c r="B270" s="160"/>
      <c r="C270" s="160"/>
      <c r="D270" s="161"/>
      <c r="E270" s="265" t="s">
        <v>844</v>
      </c>
      <c r="F270" s="160"/>
      <c r="G270" s="160"/>
      <c r="H270" s="160"/>
      <c r="I270" s="160"/>
      <c r="J270" s="160"/>
      <c r="K270" s="160"/>
      <c r="L270" s="160"/>
      <c r="M270" s="159" t="s">
        <v>930</v>
      </c>
      <c r="N270" s="160"/>
      <c r="O270" s="160"/>
      <c r="P270" s="160"/>
      <c r="Q270" s="160"/>
      <c r="R270" s="283" t="s">
        <v>665</v>
      </c>
      <c r="S270" s="156" t="s">
        <v>19</v>
      </c>
      <c r="T270" s="157">
        <v>400</v>
      </c>
      <c r="U270" s="271">
        <v>3.3451327433628317E-2</v>
      </c>
      <c r="V270" s="272"/>
      <c r="W270" s="288">
        <v>13.381</v>
      </c>
      <c r="X270" s="289"/>
      <c r="Y270" s="273" t="s">
        <v>538</v>
      </c>
      <c r="Z270" s="240" t="s">
        <v>126</v>
      </c>
      <c r="AA270" s="48">
        <v>13.381</v>
      </c>
    </row>
    <row r="271" spans="1:27" s="48" customFormat="1" ht="18" customHeight="1">
      <c r="A271" s="159">
        <v>0</v>
      </c>
      <c r="B271" s="160"/>
      <c r="C271" s="160"/>
      <c r="D271" s="161"/>
      <c r="E271" s="265" t="s">
        <v>845</v>
      </c>
      <c r="F271" s="160"/>
      <c r="G271" s="160"/>
      <c r="H271" s="160"/>
      <c r="I271" s="160"/>
      <c r="J271" s="160"/>
      <c r="K271" s="160"/>
      <c r="L271" s="160"/>
      <c r="M271" s="159" t="s">
        <v>925</v>
      </c>
      <c r="N271" s="160"/>
      <c r="O271" s="160"/>
      <c r="P271" s="160"/>
      <c r="Q271" s="160"/>
      <c r="R271" s="283" t="s">
        <v>666</v>
      </c>
      <c r="S271" s="156" t="s">
        <v>19</v>
      </c>
      <c r="T271" s="157">
        <v>374</v>
      </c>
      <c r="U271" s="271">
        <v>0.46460176991150443</v>
      </c>
      <c r="V271" s="272"/>
      <c r="W271" s="288">
        <v>173.762</v>
      </c>
      <c r="X271" s="289"/>
      <c r="Y271" s="273" t="s">
        <v>538</v>
      </c>
      <c r="Z271" s="240" t="s">
        <v>130</v>
      </c>
      <c r="AA271" s="48">
        <v>173.762</v>
      </c>
    </row>
    <row r="272" spans="1:27" s="48" customFormat="1" ht="18" customHeight="1">
      <c r="A272" s="159">
        <v>0</v>
      </c>
      <c r="B272" s="160"/>
      <c r="C272" s="160"/>
      <c r="D272" s="161"/>
      <c r="E272" s="265" t="s">
        <v>447</v>
      </c>
      <c r="F272" s="160"/>
      <c r="G272" s="160"/>
      <c r="H272" s="160"/>
      <c r="I272" s="160"/>
      <c r="J272" s="160"/>
      <c r="K272" s="160"/>
      <c r="L272" s="160"/>
      <c r="M272" s="159" t="s">
        <v>928</v>
      </c>
      <c r="N272" s="160"/>
      <c r="O272" s="160"/>
      <c r="P272" s="160"/>
      <c r="Q272" s="160"/>
      <c r="R272" s="283" t="s">
        <v>371</v>
      </c>
      <c r="S272" s="156" t="s">
        <v>19</v>
      </c>
      <c r="T272" s="157">
        <v>2000</v>
      </c>
      <c r="U272" s="271">
        <v>2.1654867256637171E-2</v>
      </c>
      <c r="V272" s="272"/>
      <c r="W272" s="288">
        <v>43.309999999999995</v>
      </c>
      <c r="X272" s="289"/>
      <c r="Y272" s="273" t="s">
        <v>538</v>
      </c>
      <c r="Z272" s="240" t="s">
        <v>130</v>
      </c>
      <c r="AA272" s="48">
        <v>43.309999999999995</v>
      </c>
    </row>
    <row r="273" spans="1:27" s="48" customFormat="1" ht="18" customHeight="1">
      <c r="A273" s="159">
        <v>0</v>
      </c>
      <c r="B273" s="160"/>
      <c r="C273" s="160"/>
      <c r="D273" s="161"/>
      <c r="E273" s="265" t="s">
        <v>846</v>
      </c>
      <c r="F273" s="160"/>
      <c r="G273" s="160"/>
      <c r="H273" s="160"/>
      <c r="I273" s="160"/>
      <c r="J273" s="160"/>
      <c r="K273" s="160"/>
      <c r="L273" s="160"/>
      <c r="M273" s="159" t="s">
        <v>928</v>
      </c>
      <c r="N273" s="160"/>
      <c r="O273" s="160"/>
      <c r="P273" s="160"/>
      <c r="Q273" s="160"/>
      <c r="R273" s="283" t="s">
        <v>696</v>
      </c>
      <c r="S273" s="156" t="s">
        <v>19</v>
      </c>
      <c r="T273" s="157">
        <v>1000</v>
      </c>
      <c r="U273" s="271">
        <v>2.5743362831858407E-2</v>
      </c>
      <c r="V273" s="272"/>
      <c r="W273" s="288">
        <v>25.744</v>
      </c>
      <c r="X273" s="289"/>
      <c r="Y273" s="273" t="s">
        <v>538</v>
      </c>
      <c r="Z273" s="240" t="s">
        <v>125</v>
      </c>
      <c r="AA273" s="48">
        <v>25.744</v>
      </c>
    </row>
    <row r="274" spans="1:27" s="48" customFormat="1" ht="18" customHeight="1">
      <c r="A274" s="159">
        <v>0</v>
      </c>
      <c r="B274" s="160"/>
      <c r="C274" s="160"/>
      <c r="D274" s="161"/>
      <c r="E274" s="265" t="s">
        <v>847</v>
      </c>
      <c r="F274" s="160"/>
      <c r="G274" s="160"/>
      <c r="H274" s="160"/>
      <c r="I274" s="160"/>
      <c r="J274" s="160"/>
      <c r="K274" s="160"/>
      <c r="L274" s="160"/>
      <c r="M274" s="159" t="s">
        <v>925</v>
      </c>
      <c r="N274" s="160"/>
      <c r="O274" s="160"/>
      <c r="P274" s="160"/>
      <c r="Q274" s="160"/>
      <c r="R274" s="283" t="s">
        <v>638</v>
      </c>
      <c r="S274" s="156" t="s">
        <v>19</v>
      </c>
      <c r="T274" s="157">
        <v>6000</v>
      </c>
      <c r="U274" s="271">
        <v>0.1523008849557522</v>
      </c>
      <c r="V274" s="272"/>
      <c r="W274" s="288">
        <v>913.80599999999993</v>
      </c>
      <c r="X274" s="289"/>
      <c r="Y274" s="273" t="s">
        <v>538</v>
      </c>
      <c r="Z274" s="240" t="s">
        <v>130</v>
      </c>
      <c r="AA274" s="48">
        <v>913.80599999999993</v>
      </c>
    </row>
    <row r="275" spans="1:27" s="48" customFormat="1" ht="18" customHeight="1">
      <c r="A275" s="159">
        <v>0</v>
      </c>
      <c r="B275" s="160"/>
      <c r="C275" s="160"/>
      <c r="D275" s="161"/>
      <c r="E275" s="265" t="s">
        <v>848</v>
      </c>
      <c r="F275" s="160"/>
      <c r="G275" s="160"/>
      <c r="H275" s="160"/>
      <c r="I275" s="160"/>
      <c r="J275" s="160"/>
      <c r="K275" s="160"/>
      <c r="L275" s="160"/>
      <c r="M275" s="159" t="s">
        <v>927</v>
      </c>
      <c r="N275" s="160"/>
      <c r="O275" s="160"/>
      <c r="P275" s="160"/>
      <c r="Q275" s="160"/>
      <c r="R275" s="283" t="s">
        <v>677</v>
      </c>
      <c r="S275" s="156" t="s">
        <v>19</v>
      </c>
      <c r="T275" s="157">
        <v>1220</v>
      </c>
      <c r="U275" s="239">
        <v>5.3893805309734512E-2</v>
      </c>
      <c r="V275" s="225"/>
      <c r="W275" s="288">
        <v>65.751000000000005</v>
      </c>
      <c r="X275" s="289"/>
      <c r="Y275" s="258" t="s">
        <v>538</v>
      </c>
      <c r="Z275" s="240" t="s">
        <v>125</v>
      </c>
      <c r="AA275" s="48">
        <v>65.751000000000005</v>
      </c>
    </row>
    <row r="276" spans="1:27" s="48" customFormat="1" ht="18" customHeight="1">
      <c r="A276" s="159">
        <v>0</v>
      </c>
      <c r="B276" s="160"/>
      <c r="C276" s="160"/>
      <c r="D276" s="161"/>
      <c r="E276" s="265" t="s">
        <v>35</v>
      </c>
      <c r="F276" s="160"/>
      <c r="G276" s="160"/>
      <c r="H276" s="160"/>
      <c r="I276" s="160"/>
      <c r="J276" s="160"/>
      <c r="K276" s="160"/>
      <c r="L276" s="160"/>
      <c r="M276" s="159" t="s">
        <v>928</v>
      </c>
      <c r="N276" s="160"/>
      <c r="O276" s="160"/>
      <c r="P276" s="160"/>
      <c r="Q276" s="160"/>
      <c r="R276" s="283" t="s">
        <v>111</v>
      </c>
      <c r="S276" s="156" t="s">
        <v>19</v>
      </c>
      <c r="T276" s="157">
        <v>2500</v>
      </c>
      <c r="U276" s="239">
        <v>2.1371681415929201E-2</v>
      </c>
      <c r="V276" s="225"/>
      <c r="W276" s="288">
        <v>53.43</v>
      </c>
      <c r="X276" s="289"/>
      <c r="Y276" s="258" t="s">
        <v>538</v>
      </c>
      <c r="Z276" s="240" t="s">
        <v>130</v>
      </c>
      <c r="AA276" s="48">
        <v>53.43</v>
      </c>
    </row>
    <row r="277" spans="1:27" s="48" customFormat="1" ht="18" customHeight="1">
      <c r="A277" s="159">
        <v>0</v>
      </c>
      <c r="B277" s="160"/>
      <c r="C277" s="160"/>
      <c r="D277" s="161"/>
      <c r="E277" s="265" t="s">
        <v>849</v>
      </c>
      <c r="F277" s="160"/>
      <c r="G277" s="160"/>
      <c r="H277" s="160"/>
      <c r="I277" s="160"/>
      <c r="J277" s="160"/>
      <c r="K277" s="160"/>
      <c r="L277" s="160"/>
      <c r="M277" s="159" t="s">
        <v>928</v>
      </c>
      <c r="N277" s="160"/>
      <c r="O277" s="160"/>
      <c r="P277" s="160"/>
      <c r="Q277" s="160"/>
      <c r="R277" s="283" t="s">
        <v>601</v>
      </c>
      <c r="S277" s="156" t="s">
        <v>19</v>
      </c>
      <c r="T277" s="157">
        <v>2000</v>
      </c>
      <c r="U277" s="239">
        <v>3.0946902654867256E-2</v>
      </c>
      <c r="V277" s="225"/>
      <c r="W277" s="288">
        <v>61.893999999999998</v>
      </c>
      <c r="X277" s="289"/>
      <c r="Y277" s="258" t="s">
        <v>538</v>
      </c>
      <c r="Z277" s="240" t="s">
        <v>125</v>
      </c>
      <c r="AA277" s="48">
        <v>61.893999999999998</v>
      </c>
    </row>
    <row r="278" spans="1:27" s="48" customFormat="1" ht="18" customHeight="1">
      <c r="A278" s="159">
        <v>0</v>
      </c>
      <c r="B278" s="160"/>
      <c r="C278" s="160"/>
      <c r="D278" s="161"/>
      <c r="E278" s="265" t="s">
        <v>452</v>
      </c>
      <c r="F278" s="160"/>
      <c r="G278" s="160"/>
      <c r="H278" s="160"/>
      <c r="I278" s="160"/>
      <c r="J278" s="160"/>
      <c r="K278" s="160"/>
      <c r="L278" s="160"/>
      <c r="M278" s="159" t="s">
        <v>928</v>
      </c>
      <c r="N278" s="160"/>
      <c r="O278" s="160"/>
      <c r="P278" s="160"/>
      <c r="Q278" s="160"/>
      <c r="R278" s="283" t="s">
        <v>376</v>
      </c>
      <c r="S278" s="156" t="s">
        <v>19</v>
      </c>
      <c r="T278" s="157">
        <v>4000</v>
      </c>
      <c r="U278" s="239">
        <v>9.2035398230088505E-3</v>
      </c>
      <c r="V278" s="225"/>
      <c r="W278" s="288">
        <v>36.814999999999998</v>
      </c>
      <c r="X278" s="289"/>
      <c r="Y278" s="258" t="s">
        <v>541</v>
      </c>
      <c r="Z278" s="240" t="s">
        <v>130</v>
      </c>
      <c r="AA278" s="48">
        <v>36.814999999999998</v>
      </c>
    </row>
    <row r="279" spans="1:27" s="48" customFormat="1" ht="18" customHeight="1">
      <c r="A279" s="159">
        <v>0</v>
      </c>
      <c r="B279" s="160"/>
      <c r="C279" s="160"/>
      <c r="D279" s="161"/>
      <c r="E279" s="265" t="s">
        <v>850</v>
      </c>
      <c r="F279" s="160"/>
      <c r="G279" s="160"/>
      <c r="H279" s="160"/>
      <c r="I279" s="160"/>
      <c r="J279" s="160"/>
      <c r="K279" s="160"/>
      <c r="L279" s="160"/>
      <c r="M279" s="159" t="s">
        <v>925</v>
      </c>
      <c r="N279" s="160"/>
      <c r="O279" s="160"/>
      <c r="P279" s="160"/>
      <c r="Q279" s="160"/>
      <c r="R279" s="283" t="s">
        <v>694</v>
      </c>
      <c r="S279" s="156" t="s">
        <v>19</v>
      </c>
      <c r="T279" s="157">
        <v>500</v>
      </c>
      <c r="U279" s="239">
        <v>0.12591150442477878</v>
      </c>
      <c r="V279" s="225"/>
      <c r="W279" s="288">
        <v>62.955999999999996</v>
      </c>
      <c r="X279" s="289"/>
      <c r="Y279" s="258" t="s">
        <v>538</v>
      </c>
      <c r="Z279" s="240" t="s">
        <v>129</v>
      </c>
      <c r="AA279" s="48">
        <v>62.955999999999996</v>
      </c>
    </row>
    <row r="280" spans="1:27" s="48" customFormat="1" ht="18" customHeight="1">
      <c r="A280" s="159">
        <v>0</v>
      </c>
      <c r="B280" s="160"/>
      <c r="C280" s="160"/>
      <c r="D280" s="161"/>
      <c r="E280" s="265" t="s">
        <v>851</v>
      </c>
      <c r="F280" s="160"/>
      <c r="G280" s="160"/>
      <c r="H280" s="160"/>
      <c r="I280" s="160"/>
      <c r="J280" s="160"/>
      <c r="K280" s="160"/>
      <c r="L280" s="160"/>
      <c r="M280" s="159" t="s">
        <v>927</v>
      </c>
      <c r="N280" s="160"/>
      <c r="O280" s="160"/>
      <c r="P280" s="160"/>
      <c r="Q280" s="160"/>
      <c r="R280" s="283" t="s">
        <v>634</v>
      </c>
      <c r="S280" s="156" t="s">
        <v>19</v>
      </c>
      <c r="T280" s="157">
        <v>3000</v>
      </c>
      <c r="U280" s="239">
        <v>2.4716814159292035E-2</v>
      </c>
      <c r="V280" s="225"/>
      <c r="W280" s="288">
        <v>74.15100000000001</v>
      </c>
      <c r="X280" s="289"/>
      <c r="Y280" s="258" t="s">
        <v>538</v>
      </c>
      <c r="Z280" s="240" t="s">
        <v>125</v>
      </c>
      <c r="AA280" s="48">
        <v>74.15100000000001</v>
      </c>
    </row>
    <row r="281" spans="1:27" s="48" customFormat="1" ht="18" customHeight="1">
      <c r="A281" s="159">
        <v>0</v>
      </c>
      <c r="B281" s="160"/>
      <c r="C281" s="160"/>
      <c r="D281" s="161"/>
      <c r="E281" s="265" t="s">
        <v>852</v>
      </c>
      <c r="F281" s="160"/>
      <c r="G281" s="160"/>
      <c r="H281" s="160"/>
      <c r="I281" s="160"/>
      <c r="J281" s="160"/>
      <c r="K281" s="160"/>
      <c r="L281" s="160"/>
      <c r="M281" s="159" t="s">
        <v>928</v>
      </c>
      <c r="N281" s="160"/>
      <c r="O281" s="160"/>
      <c r="P281" s="160"/>
      <c r="Q281" s="160"/>
      <c r="R281" s="283" t="s">
        <v>639</v>
      </c>
      <c r="S281" s="156" t="s">
        <v>19</v>
      </c>
      <c r="T281" s="157">
        <v>4000</v>
      </c>
      <c r="U281" s="239">
        <v>1.7380530973451328E-2</v>
      </c>
      <c r="V281" s="225"/>
      <c r="W281" s="288">
        <v>69.52300000000001</v>
      </c>
      <c r="X281" s="289"/>
      <c r="Y281" s="258" t="s">
        <v>538</v>
      </c>
      <c r="Z281" s="240" t="s">
        <v>130</v>
      </c>
      <c r="AA281" s="48">
        <v>69.52300000000001</v>
      </c>
    </row>
    <row r="282" spans="1:27" s="48" customFormat="1" ht="18" customHeight="1">
      <c r="A282" s="159">
        <v>0</v>
      </c>
      <c r="B282" s="160"/>
      <c r="C282" s="160"/>
      <c r="D282" s="161"/>
      <c r="E282" s="265" t="s">
        <v>853</v>
      </c>
      <c r="F282" s="160"/>
      <c r="G282" s="160"/>
      <c r="H282" s="160"/>
      <c r="I282" s="160"/>
      <c r="J282" s="160"/>
      <c r="K282" s="160"/>
      <c r="L282" s="160"/>
      <c r="M282" s="159" t="s">
        <v>925</v>
      </c>
      <c r="N282" s="160"/>
      <c r="O282" s="160"/>
      <c r="P282" s="160"/>
      <c r="Q282" s="160"/>
      <c r="R282" s="283" t="s">
        <v>695</v>
      </c>
      <c r="S282" s="156" t="s">
        <v>19</v>
      </c>
      <c r="T282" s="157">
        <v>250</v>
      </c>
      <c r="U282" s="239">
        <v>0.15870796460176992</v>
      </c>
      <c r="V282" s="225"/>
      <c r="W282" s="288">
        <v>39.677</v>
      </c>
      <c r="X282" s="289"/>
      <c r="Y282" s="258" t="s">
        <v>538</v>
      </c>
      <c r="Z282" s="240" t="s">
        <v>129</v>
      </c>
      <c r="AA282" s="48">
        <v>39.677</v>
      </c>
    </row>
    <row r="283" spans="1:27" s="48" customFormat="1" ht="18" customHeight="1">
      <c r="A283" s="159">
        <v>0</v>
      </c>
      <c r="B283" s="160"/>
      <c r="C283" s="160"/>
      <c r="D283" s="161"/>
      <c r="E283" s="265" t="s">
        <v>41</v>
      </c>
      <c r="F283" s="160"/>
      <c r="G283" s="160"/>
      <c r="H283" s="160"/>
      <c r="I283" s="160"/>
      <c r="J283" s="160"/>
      <c r="K283" s="160"/>
      <c r="L283" s="160"/>
      <c r="M283" s="159" t="s">
        <v>925</v>
      </c>
      <c r="N283" s="160"/>
      <c r="O283" s="160"/>
      <c r="P283" s="160"/>
      <c r="Q283" s="160"/>
      <c r="R283" s="283" t="s">
        <v>112</v>
      </c>
      <c r="S283" s="156" t="s">
        <v>19</v>
      </c>
      <c r="T283" s="157">
        <v>2400</v>
      </c>
      <c r="U283" s="239">
        <v>2.6946902654867256E-2</v>
      </c>
      <c r="V283" s="225"/>
      <c r="W283" s="288">
        <v>64.673000000000002</v>
      </c>
      <c r="X283" s="289"/>
      <c r="Y283" s="258" t="s">
        <v>538</v>
      </c>
      <c r="Z283" s="240" t="s">
        <v>130</v>
      </c>
      <c r="AA283" s="48">
        <v>64.673000000000002</v>
      </c>
    </row>
    <row r="284" spans="1:27" s="48" customFormat="1" ht="18" customHeight="1">
      <c r="A284" s="159">
        <v>0</v>
      </c>
      <c r="B284" s="160"/>
      <c r="C284" s="160"/>
      <c r="D284" s="161"/>
      <c r="E284" s="265" t="s">
        <v>467</v>
      </c>
      <c r="F284" s="160"/>
      <c r="G284" s="160"/>
      <c r="H284" s="160"/>
      <c r="I284" s="160"/>
      <c r="J284" s="160"/>
      <c r="K284" s="160"/>
      <c r="L284" s="160"/>
      <c r="M284" s="159" t="s">
        <v>928</v>
      </c>
      <c r="N284" s="160"/>
      <c r="O284" s="160"/>
      <c r="P284" s="160"/>
      <c r="Q284" s="160"/>
      <c r="R284" s="283" t="s">
        <v>391</v>
      </c>
      <c r="S284" s="156" t="s">
        <v>19</v>
      </c>
      <c r="T284" s="157">
        <v>4400</v>
      </c>
      <c r="U284" s="239">
        <v>3.6238938053097344E-2</v>
      </c>
      <c r="V284" s="225"/>
      <c r="W284" s="288">
        <v>159.452</v>
      </c>
      <c r="X284" s="289"/>
      <c r="Y284" s="258" t="s">
        <v>538</v>
      </c>
      <c r="Z284" s="240" t="s">
        <v>130</v>
      </c>
      <c r="AA284" s="48">
        <v>159.452</v>
      </c>
    </row>
    <row r="285" spans="1:27" s="48" customFormat="1" ht="18" customHeight="1">
      <c r="A285" s="159">
        <v>0</v>
      </c>
      <c r="B285" s="160"/>
      <c r="C285" s="160"/>
      <c r="D285" s="161"/>
      <c r="E285" s="265" t="s">
        <v>485</v>
      </c>
      <c r="F285" s="160"/>
      <c r="G285" s="160"/>
      <c r="H285" s="160"/>
      <c r="I285" s="160"/>
      <c r="J285" s="160"/>
      <c r="K285" s="160"/>
      <c r="L285" s="160"/>
      <c r="M285" s="159" t="s">
        <v>925</v>
      </c>
      <c r="N285" s="160"/>
      <c r="O285" s="160"/>
      <c r="P285" s="160"/>
      <c r="Q285" s="160"/>
      <c r="R285" s="283" t="s">
        <v>722</v>
      </c>
      <c r="S285" s="156" t="s">
        <v>19</v>
      </c>
      <c r="T285" s="157">
        <v>320</v>
      </c>
      <c r="U285" s="239">
        <v>3.698230088495575E-2</v>
      </c>
      <c r="V285" s="225"/>
      <c r="W285" s="288">
        <v>11.834999999999999</v>
      </c>
      <c r="X285" s="289"/>
      <c r="Y285" s="258" t="s">
        <v>538</v>
      </c>
      <c r="Z285" s="240" t="s">
        <v>130</v>
      </c>
      <c r="AA285" s="48">
        <v>11.834999999999999</v>
      </c>
    </row>
    <row r="286" spans="1:27" s="48" customFormat="1" ht="18" customHeight="1">
      <c r="A286" s="159">
        <v>0</v>
      </c>
      <c r="B286" s="160"/>
      <c r="C286" s="160"/>
      <c r="D286" s="161"/>
      <c r="E286" s="265" t="s">
        <v>854</v>
      </c>
      <c r="F286" s="160"/>
      <c r="G286" s="160"/>
      <c r="H286" s="160"/>
      <c r="I286" s="160"/>
      <c r="J286" s="160"/>
      <c r="K286" s="160"/>
      <c r="L286" s="160"/>
      <c r="M286" s="159" t="s">
        <v>925</v>
      </c>
      <c r="N286" s="160"/>
      <c r="O286" s="160"/>
      <c r="P286" s="160"/>
      <c r="Q286" s="160"/>
      <c r="R286" s="283" t="s">
        <v>691</v>
      </c>
      <c r="S286" s="156" t="s">
        <v>19</v>
      </c>
      <c r="T286" s="157">
        <v>1800</v>
      </c>
      <c r="U286" s="239">
        <v>0.24976991150442479</v>
      </c>
      <c r="V286" s="225"/>
      <c r="W286" s="288">
        <v>449.58599999999996</v>
      </c>
      <c r="X286" s="289"/>
      <c r="Y286" s="258" t="s">
        <v>538</v>
      </c>
      <c r="Z286" s="240" t="s">
        <v>129</v>
      </c>
      <c r="AA286" s="48">
        <v>449.58599999999996</v>
      </c>
    </row>
    <row r="287" spans="1:27" s="48" customFormat="1" ht="18" customHeight="1">
      <c r="A287" s="159">
        <v>0</v>
      </c>
      <c r="B287" s="160"/>
      <c r="C287" s="160"/>
      <c r="D287" s="161"/>
      <c r="E287" s="265" t="s">
        <v>855</v>
      </c>
      <c r="F287" s="160"/>
      <c r="G287" s="160"/>
      <c r="H287" s="160"/>
      <c r="I287" s="160"/>
      <c r="J287" s="160"/>
      <c r="K287" s="160"/>
      <c r="L287" s="160"/>
      <c r="M287" s="159" t="s">
        <v>925</v>
      </c>
      <c r="N287" s="160"/>
      <c r="O287" s="160"/>
      <c r="P287" s="160"/>
      <c r="Q287" s="160"/>
      <c r="R287" s="283" t="s">
        <v>692</v>
      </c>
      <c r="S287" s="156" t="s">
        <v>19</v>
      </c>
      <c r="T287" s="157">
        <v>2000</v>
      </c>
      <c r="U287" s="239">
        <v>1.3663716814159291E-2</v>
      </c>
      <c r="V287" s="225"/>
      <c r="W287" s="288">
        <v>27.328000000000003</v>
      </c>
      <c r="X287" s="289"/>
      <c r="Y287" s="258" t="s">
        <v>538</v>
      </c>
      <c r="Z287" s="240" t="s">
        <v>125</v>
      </c>
      <c r="AA287" s="48">
        <v>27.328000000000003</v>
      </c>
    </row>
    <row r="288" spans="1:27" s="48" customFormat="1" ht="18" customHeight="1">
      <c r="A288" s="159">
        <v>0</v>
      </c>
      <c r="B288" s="160"/>
      <c r="C288" s="160"/>
      <c r="D288" s="161"/>
      <c r="E288" s="265" t="s">
        <v>856</v>
      </c>
      <c r="F288" s="160"/>
      <c r="G288" s="160"/>
      <c r="H288" s="160"/>
      <c r="I288" s="160"/>
      <c r="J288" s="160"/>
      <c r="K288" s="160"/>
      <c r="L288" s="160"/>
      <c r="M288" s="159" t="s">
        <v>925</v>
      </c>
      <c r="N288" s="160"/>
      <c r="O288" s="160"/>
      <c r="P288" s="160"/>
      <c r="Q288" s="160"/>
      <c r="R288" s="283" t="s">
        <v>693</v>
      </c>
      <c r="S288" s="156" t="s">
        <v>19</v>
      </c>
      <c r="T288" s="157">
        <v>750</v>
      </c>
      <c r="U288" s="239">
        <v>7.3876106194690275E-2</v>
      </c>
      <c r="V288" s="225"/>
      <c r="W288" s="288">
        <v>55.407999999999994</v>
      </c>
      <c r="X288" s="289"/>
      <c r="Y288" s="258" t="s">
        <v>538</v>
      </c>
      <c r="Z288" s="240" t="s">
        <v>197</v>
      </c>
      <c r="AA288" s="48">
        <v>55.407999999999994</v>
      </c>
    </row>
    <row r="289" spans="1:27" s="48" customFormat="1" ht="18" customHeight="1">
      <c r="A289" s="159">
        <v>0</v>
      </c>
      <c r="B289" s="160"/>
      <c r="C289" s="160"/>
      <c r="D289" s="161"/>
      <c r="E289" s="265" t="s">
        <v>857</v>
      </c>
      <c r="F289" s="160"/>
      <c r="G289" s="160"/>
      <c r="H289" s="160"/>
      <c r="I289" s="160"/>
      <c r="J289" s="160"/>
      <c r="K289" s="160"/>
      <c r="L289" s="160"/>
      <c r="M289" s="159" t="s">
        <v>925</v>
      </c>
      <c r="N289" s="160"/>
      <c r="O289" s="160"/>
      <c r="P289" s="160"/>
      <c r="Q289" s="160"/>
      <c r="R289" s="283" t="s">
        <v>682</v>
      </c>
      <c r="S289" s="156" t="s">
        <v>19</v>
      </c>
      <c r="T289" s="157">
        <v>200</v>
      </c>
      <c r="U289" s="239">
        <v>7.7831858407079652E-2</v>
      </c>
      <c r="V289" s="225"/>
      <c r="W289" s="288">
        <v>15.567</v>
      </c>
      <c r="X289" s="289"/>
      <c r="Y289" s="258" t="s">
        <v>538</v>
      </c>
      <c r="Z289" s="240" t="s">
        <v>130</v>
      </c>
      <c r="AA289" s="48">
        <v>15.567</v>
      </c>
    </row>
    <row r="290" spans="1:27" s="48" customFormat="1" ht="18" customHeight="1">
      <c r="A290" s="159">
        <v>0</v>
      </c>
      <c r="B290" s="160"/>
      <c r="C290" s="160"/>
      <c r="D290" s="161"/>
      <c r="E290" s="265" t="s">
        <v>858</v>
      </c>
      <c r="F290" s="160"/>
      <c r="G290" s="160"/>
      <c r="H290" s="160"/>
      <c r="I290" s="160"/>
      <c r="J290" s="160"/>
      <c r="K290" s="160"/>
      <c r="L290" s="160"/>
      <c r="M290" s="159" t="s">
        <v>925</v>
      </c>
      <c r="N290" s="160"/>
      <c r="O290" s="160"/>
      <c r="P290" s="160"/>
      <c r="Q290" s="160"/>
      <c r="R290" s="283" t="s">
        <v>600</v>
      </c>
      <c r="S290" s="156" t="s">
        <v>19</v>
      </c>
      <c r="T290" s="157">
        <v>2000</v>
      </c>
      <c r="U290" s="239">
        <v>0.12981415929203541</v>
      </c>
      <c r="V290" s="225"/>
      <c r="W290" s="288">
        <v>259.62899999999996</v>
      </c>
      <c r="X290" s="289"/>
      <c r="Y290" s="258" t="s">
        <v>538</v>
      </c>
      <c r="Z290" s="240" t="s">
        <v>130</v>
      </c>
      <c r="AA290" s="48">
        <v>259.62899999999996</v>
      </c>
    </row>
    <row r="291" spans="1:27" s="48" customFormat="1" ht="18" customHeight="1">
      <c r="A291" s="159">
        <v>0</v>
      </c>
      <c r="B291" s="160"/>
      <c r="C291" s="160"/>
      <c r="D291" s="161"/>
      <c r="E291" s="265" t="s">
        <v>49</v>
      </c>
      <c r="F291" s="160"/>
      <c r="G291" s="160"/>
      <c r="H291" s="160"/>
      <c r="I291" s="160"/>
      <c r="J291" s="160"/>
      <c r="K291" s="160"/>
      <c r="L291" s="160"/>
      <c r="M291" s="159" t="s">
        <v>925</v>
      </c>
      <c r="N291" s="160"/>
      <c r="O291" s="160"/>
      <c r="P291" s="160"/>
      <c r="Q291" s="160"/>
      <c r="R291" s="283" t="s">
        <v>94</v>
      </c>
      <c r="S291" s="156" t="s">
        <v>19</v>
      </c>
      <c r="T291" s="157">
        <v>2000</v>
      </c>
      <c r="U291" s="239">
        <v>0.22300884955752212</v>
      </c>
      <c r="V291" s="225"/>
      <c r="W291" s="288">
        <v>446.01799999999997</v>
      </c>
      <c r="X291" s="289"/>
      <c r="Y291" s="258" t="s">
        <v>538</v>
      </c>
      <c r="Z291" s="240" t="s">
        <v>129</v>
      </c>
      <c r="AA291" s="48">
        <v>446.01799999999997</v>
      </c>
    </row>
    <row r="292" spans="1:27" s="48" customFormat="1" ht="18" customHeight="1">
      <c r="A292" s="159">
        <v>0</v>
      </c>
      <c r="B292" s="160"/>
      <c r="C292" s="160"/>
      <c r="D292" s="161"/>
      <c r="E292" s="265" t="s">
        <v>26</v>
      </c>
      <c r="F292" s="160"/>
      <c r="G292" s="160"/>
      <c r="H292" s="160"/>
      <c r="I292" s="160"/>
      <c r="J292" s="160"/>
      <c r="K292" s="160"/>
      <c r="L292" s="160"/>
      <c r="M292" s="159" t="s">
        <v>928</v>
      </c>
      <c r="N292" s="160"/>
      <c r="O292" s="160"/>
      <c r="P292" s="160"/>
      <c r="Q292" s="160"/>
      <c r="R292" s="283" t="s">
        <v>107</v>
      </c>
      <c r="S292" s="156" t="s">
        <v>19</v>
      </c>
      <c r="T292" s="157">
        <v>2000</v>
      </c>
      <c r="U292" s="239">
        <v>3.7168141592920353E-2</v>
      </c>
      <c r="V292" s="225"/>
      <c r="W292" s="288">
        <v>74.337000000000003</v>
      </c>
      <c r="X292" s="289"/>
      <c r="Y292" s="258" t="s">
        <v>538</v>
      </c>
      <c r="Z292" s="240" t="s">
        <v>130</v>
      </c>
      <c r="AA292" s="48">
        <v>74.337000000000003</v>
      </c>
    </row>
    <row r="293" spans="1:27" s="48" customFormat="1" ht="18" customHeight="1">
      <c r="A293" s="159">
        <v>0</v>
      </c>
      <c r="B293" s="160"/>
      <c r="C293" s="160"/>
      <c r="D293" s="161"/>
      <c r="E293" s="265" t="s">
        <v>40</v>
      </c>
      <c r="F293" s="160"/>
      <c r="G293" s="160"/>
      <c r="H293" s="160"/>
      <c r="I293" s="160"/>
      <c r="J293" s="160"/>
      <c r="K293" s="160"/>
      <c r="L293" s="160"/>
      <c r="M293" s="159" t="s">
        <v>925</v>
      </c>
      <c r="N293" s="160"/>
      <c r="O293" s="160"/>
      <c r="P293" s="160"/>
      <c r="Q293" s="160"/>
      <c r="R293" s="283" t="s">
        <v>96</v>
      </c>
      <c r="S293" s="156" t="s">
        <v>19</v>
      </c>
      <c r="T293" s="157">
        <v>1000</v>
      </c>
      <c r="U293" s="239">
        <v>0.11364601769911503</v>
      </c>
      <c r="V293" s="225"/>
      <c r="W293" s="288">
        <v>113.64700000000001</v>
      </c>
      <c r="X293" s="289"/>
      <c r="Y293" s="258" t="s">
        <v>539</v>
      </c>
      <c r="Z293" s="240" t="s">
        <v>130</v>
      </c>
      <c r="AA293" s="48">
        <v>113.64700000000001</v>
      </c>
    </row>
    <row r="294" spans="1:27" s="48" customFormat="1" ht="18" customHeight="1">
      <c r="A294" s="159">
        <v>0</v>
      </c>
      <c r="B294" s="160"/>
      <c r="C294" s="160"/>
      <c r="D294" s="161"/>
      <c r="E294" s="265" t="s">
        <v>911</v>
      </c>
      <c r="F294" s="160"/>
      <c r="G294" s="160"/>
      <c r="H294" s="160"/>
      <c r="I294" s="160"/>
      <c r="J294" s="160"/>
      <c r="K294" s="160"/>
      <c r="L294" s="160"/>
      <c r="M294" s="159" t="s">
        <v>930</v>
      </c>
      <c r="N294" s="160"/>
      <c r="O294" s="160"/>
      <c r="P294" s="160"/>
      <c r="Q294" s="160"/>
      <c r="R294" s="281" t="s">
        <v>906</v>
      </c>
      <c r="S294" s="156" t="s">
        <v>19</v>
      </c>
      <c r="T294" s="157">
        <v>153000</v>
      </c>
      <c r="U294" s="239">
        <v>3.4380530973451326E-2</v>
      </c>
      <c r="V294" s="225"/>
      <c r="W294" s="288">
        <v>5260.2219999999998</v>
      </c>
      <c r="X294" s="289"/>
      <c r="Y294" s="258" t="s">
        <v>538</v>
      </c>
      <c r="Z294" s="240" t="s">
        <v>125</v>
      </c>
      <c r="AA294" s="48">
        <v>5260.2219999999998</v>
      </c>
    </row>
    <row r="295" spans="1:27" s="48" customFormat="1" ht="18" customHeight="1">
      <c r="A295" s="159">
        <v>0</v>
      </c>
      <c r="B295" s="160"/>
      <c r="C295" s="160"/>
      <c r="D295" s="161"/>
      <c r="E295" s="265" t="s">
        <v>859</v>
      </c>
      <c r="F295" s="160"/>
      <c r="G295" s="160"/>
      <c r="H295" s="160"/>
      <c r="I295" s="160"/>
      <c r="J295" s="160"/>
      <c r="K295" s="160"/>
      <c r="L295" s="160"/>
      <c r="M295" s="159" t="s">
        <v>925</v>
      </c>
      <c r="N295" s="160"/>
      <c r="O295" s="160"/>
      <c r="P295" s="160"/>
      <c r="Q295" s="160"/>
      <c r="R295" s="281" t="s">
        <v>595</v>
      </c>
      <c r="S295" s="156" t="s">
        <v>19</v>
      </c>
      <c r="T295" s="157">
        <v>40000</v>
      </c>
      <c r="U295" s="239">
        <v>4.8044247787610621E-2</v>
      </c>
      <c r="V295" s="225"/>
      <c r="W295" s="288">
        <v>1921.77</v>
      </c>
      <c r="X295" s="289"/>
      <c r="Y295" s="258" t="s">
        <v>538</v>
      </c>
      <c r="Z295" s="240" t="s">
        <v>125</v>
      </c>
      <c r="AA295" s="48">
        <v>1921.77</v>
      </c>
    </row>
    <row r="296" spans="1:27" s="48" customFormat="1" ht="18" customHeight="1">
      <c r="A296" s="159">
        <v>0</v>
      </c>
      <c r="B296" s="160"/>
      <c r="C296" s="160"/>
      <c r="D296" s="161"/>
      <c r="E296" s="265" t="s">
        <v>463</v>
      </c>
      <c r="F296" s="160"/>
      <c r="G296" s="160"/>
      <c r="H296" s="160"/>
      <c r="I296" s="160"/>
      <c r="J296" s="160"/>
      <c r="K296" s="160"/>
      <c r="L296" s="160"/>
      <c r="M296" s="159" t="s">
        <v>928</v>
      </c>
      <c r="N296" s="160"/>
      <c r="O296" s="160"/>
      <c r="P296" s="160"/>
      <c r="Q296" s="160"/>
      <c r="R296" s="281" t="s">
        <v>387</v>
      </c>
      <c r="S296" s="156" t="s">
        <v>19</v>
      </c>
      <c r="T296" s="157">
        <v>9000</v>
      </c>
      <c r="U296" s="239">
        <v>1.8584070796460177E-2</v>
      </c>
      <c r="V296" s="225"/>
      <c r="W296" s="288">
        <v>167.25700000000001</v>
      </c>
      <c r="X296" s="289"/>
      <c r="Y296" s="258" t="s">
        <v>538</v>
      </c>
      <c r="Z296" s="240" t="s">
        <v>511</v>
      </c>
      <c r="AA296" s="48">
        <v>167.25700000000001</v>
      </c>
    </row>
    <row r="297" spans="1:27" s="48" customFormat="1" ht="18" customHeight="1">
      <c r="A297" s="159">
        <v>0</v>
      </c>
      <c r="B297" s="160"/>
      <c r="C297" s="160"/>
      <c r="D297" s="161"/>
      <c r="E297" s="265" t="s">
        <v>860</v>
      </c>
      <c r="F297" s="160"/>
      <c r="G297" s="160"/>
      <c r="H297" s="160"/>
      <c r="I297" s="160"/>
      <c r="J297" s="160"/>
      <c r="K297" s="160"/>
      <c r="L297" s="160"/>
      <c r="M297" s="159" t="s">
        <v>928</v>
      </c>
      <c r="N297" s="160"/>
      <c r="O297" s="160"/>
      <c r="P297" s="160"/>
      <c r="Q297" s="160"/>
      <c r="R297" s="281" t="s">
        <v>603</v>
      </c>
      <c r="S297" s="156" t="s">
        <v>19</v>
      </c>
      <c r="T297" s="157">
        <v>2000</v>
      </c>
      <c r="U297" s="239">
        <v>3.0663716814159289E-2</v>
      </c>
      <c r="V297" s="225"/>
      <c r="W297" s="288">
        <v>61.327999999999996</v>
      </c>
      <c r="X297" s="289"/>
      <c r="Y297" s="258" t="s">
        <v>538</v>
      </c>
      <c r="Z297" s="240" t="s">
        <v>125</v>
      </c>
      <c r="AA297" s="48">
        <v>61.327999999999996</v>
      </c>
    </row>
    <row r="298" spans="1:27" s="48" customFormat="1" ht="18" customHeight="1">
      <c r="A298" s="159">
        <v>0</v>
      </c>
      <c r="B298" s="160"/>
      <c r="C298" s="160"/>
      <c r="D298" s="161"/>
      <c r="E298" s="265" t="s">
        <v>861</v>
      </c>
      <c r="F298" s="160"/>
      <c r="G298" s="160"/>
      <c r="H298" s="160"/>
      <c r="I298" s="160"/>
      <c r="J298" s="160"/>
      <c r="K298" s="160"/>
      <c r="L298" s="160"/>
      <c r="M298" s="159" t="s">
        <v>925</v>
      </c>
      <c r="N298" s="160"/>
      <c r="O298" s="160"/>
      <c r="P298" s="160"/>
      <c r="Q298" s="160"/>
      <c r="R298" s="281" t="s">
        <v>635</v>
      </c>
      <c r="S298" s="156" t="s">
        <v>19</v>
      </c>
      <c r="T298" s="157">
        <v>800</v>
      </c>
      <c r="U298" s="239">
        <v>0.20275221238938054</v>
      </c>
      <c r="V298" s="225"/>
      <c r="W298" s="288">
        <v>162.202</v>
      </c>
      <c r="X298" s="289"/>
      <c r="Y298" s="258" t="s">
        <v>538</v>
      </c>
      <c r="Z298" s="240" t="s">
        <v>130</v>
      </c>
      <c r="AA298" s="48">
        <v>162.202</v>
      </c>
    </row>
    <row r="299" spans="1:27" s="48" customFormat="1" ht="18" customHeight="1">
      <c r="A299" s="159">
        <v>0</v>
      </c>
      <c r="B299" s="160"/>
      <c r="C299" s="160"/>
      <c r="D299" s="161"/>
      <c r="E299" s="265" t="s">
        <v>862</v>
      </c>
      <c r="F299" s="160"/>
      <c r="G299" s="160"/>
      <c r="H299" s="160"/>
      <c r="I299" s="160"/>
      <c r="J299" s="160"/>
      <c r="K299" s="160"/>
      <c r="L299" s="160"/>
      <c r="M299" s="159" t="s">
        <v>928</v>
      </c>
      <c r="N299" s="160"/>
      <c r="O299" s="160"/>
      <c r="P299" s="160"/>
      <c r="Q299" s="160"/>
      <c r="R299" s="281" t="s">
        <v>636</v>
      </c>
      <c r="S299" s="156" t="s">
        <v>19</v>
      </c>
      <c r="T299" s="157">
        <v>1000</v>
      </c>
      <c r="U299" s="239">
        <v>2.1283185840707965E-2</v>
      </c>
      <c r="V299" s="225"/>
      <c r="W299" s="288">
        <v>21.284000000000002</v>
      </c>
      <c r="X299" s="289"/>
      <c r="Y299" s="258" t="s">
        <v>538</v>
      </c>
      <c r="Z299" s="240" t="s">
        <v>125</v>
      </c>
      <c r="AA299" s="48">
        <v>21.284000000000002</v>
      </c>
    </row>
    <row r="300" spans="1:27" s="48" customFormat="1" ht="18" customHeight="1">
      <c r="A300" s="159">
        <v>0</v>
      </c>
      <c r="B300" s="160"/>
      <c r="C300" s="160"/>
      <c r="D300" s="161"/>
      <c r="E300" s="265" t="s">
        <v>863</v>
      </c>
      <c r="F300" s="160"/>
      <c r="G300" s="160"/>
      <c r="H300" s="160"/>
      <c r="I300" s="160"/>
      <c r="J300" s="160"/>
      <c r="K300" s="160"/>
      <c r="L300" s="160"/>
      <c r="M300" s="159" t="s">
        <v>930</v>
      </c>
      <c r="N300" s="160"/>
      <c r="O300" s="160"/>
      <c r="P300" s="160"/>
      <c r="Q300" s="160"/>
      <c r="R300" s="281" t="s">
        <v>686</v>
      </c>
      <c r="S300" s="156" t="s">
        <v>19</v>
      </c>
      <c r="T300" s="157">
        <v>2509</v>
      </c>
      <c r="U300" s="239">
        <v>3.6796460176991147E-2</v>
      </c>
      <c r="V300" s="225"/>
      <c r="W300" s="288">
        <v>92.323000000000008</v>
      </c>
      <c r="X300" s="289"/>
      <c r="Y300" s="258" t="s">
        <v>538</v>
      </c>
      <c r="Z300" s="240" t="s">
        <v>125</v>
      </c>
      <c r="AA300" s="48">
        <v>92.323000000000008</v>
      </c>
    </row>
    <row r="301" spans="1:27" s="48" customFormat="1" ht="18" customHeight="1">
      <c r="A301" s="159">
        <v>0</v>
      </c>
      <c r="B301" s="160"/>
      <c r="C301" s="160"/>
      <c r="D301" s="161"/>
      <c r="E301" s="265" t="s">
        <v>864</v>
      </c>
      <c r="F301" s="160"/>
      <c r="G301" s="160"/>
      <c r="H301" s="160"/>
      <c r="I301" s="160"/>
      <c r="J301" s="160"/>
      <c r="K301" s="160"/>
      <c r="L301" s="160"/>
      <c r="M301" s="159" t="s">
        <v>930</v>
      </c>
      <c r="N301" s="160"/>
      <c r="O301" s="160"/>
      <c r="P301" s="160"/>
      <c r="Q301" s="160"/>
      <c r="R301" s="281" t="s">
        <v>653</v>
      </c>
      <c r="S301" s="156" t="s">
        <v>19</v>
      </c>
      <c r="T301" s="157">
        <v>3000</v>
      </c>
      <c r="U301" s="239">
        <v>4.9061946902654863E-2</v>
      </c>
      <c r="V301" s="225"/>
      <c r="W301" s="288">
        <v>147.18600000000001</v>
      </c>
      <c r="X301" s="289"/>
      <c r="Y301" s="258" t="s">
        <v>538</v>
      </c>
      <c r="Z301" s="240" t="s">
        <v>125</v>
      </c>
      <c r="AA301" s="48">
        <v>147.18600000000001</v>
      </c>
    </row>
    <row r="302" spans="1:27" s="48" customFormat="1" ht="18" customHeight="1">
      <c r="A302" s="159">
        <v>0</v>
      </c>
      <c r="B302" s="160"/>
      <c r="C302" s="160"/>
      <c r="D302" s="161"/>
      <c r="E302" s="265" t="s">
        <v>190</v>
      </c>
      <c r="F302" s="160"/>
      <c r="G302" s="160"/>
      <c r="H302" s="160"/>
      <c r="I302" s="160"/>
      <c r="J302" s="160"/>
      <c r="K302" s="160"/>
      <c r="L302" s="160"/>
      <c r="M302" s="159" t="s">
        <v>930</v>
      </c>
      <c r="N302" s="160"/>
      <c r="O302" s="160"/>
      <c r="P302" s="160"/>
      <c r="Q302" s="160"/>
      <c r="R302" s="281" t="s">
        <v>189</v>
      </c>
      <c r="S302" s="156" t="s">
        <v>19</v>
      </c>
      <c r="T302" s="157">
        <v>5000</v>
      </c>
      <c r="U302" s="239">
        <v>2.2300884955752213E-2</v>
      </c>
      <c r="V302" s="225"/>
      <c r="W302" s="288">
        <v>111.50500000000001</v>
      </c>
      <c r="X302" s="289"/>
      <c r="Y302" s="258" t="s">
        <v>538</v>
      </c>
      <c r="Z302" s="240" t="s">
        <v>125</v>
      </c>
      <c r="AA302" s="48">
        <v>111.50500000000001</v>
      </c>
    </row>
    <row r="303" spans="1:27" s="48" customFormat="1" ht="18" customHeight="1">
      <c r="A303" s="159">
        <v>0</v>
      </c>
      <c r="B303" s="160"/>
      <c r="C303" s="160"/>
      <c r="D303" s="161"/>
      <c r="E303" s="265" t="s">
        <v>865</v>
      </c>
      <c r="F303" s="160"/>
      <c r="G303" s="160"/>
      <c r="H303" s="160"/>
      <c r="I303" s="160"/>
      <c r="J303" s="160"/>
      <c r="K303" s="160"/>
      <c r="L303" s="160"/>
      <c r="M303" s="159" t="s">
        <v>928</v>
      </c>
      <c r="N303" s="160"/>
      <c r="O303" s="160"/>
      <c r="P303" s="160"/>
      <c r="Q303" s="160"/>
      <c r="R303" s="283" t="s">
        <v>687</v>
      </c>
      <c r="S303" s="156" t="s">
        <v>19</v>
      </c>
      <c r="T303" s="157">
        <v>388</v>
      </c>
      <c r="U303" s="239">
        <v>0.17654867256637169</v>
      </c>
      <c r="V303" s="225"/>
      <c r="W303" s="288">
        <v>68.501000000000005</v>
      </c>
      <c r="X303" s="289"/>
      <c r="Y303" s="258" t="s">
        <v>538</v>
      </c>
      <c r="Z303" s="240" t="s">
        <v>328</v>
      </c>
      <c r="AA303" s="48">
        <v>68.501000000000005</v>
      </c>
    </row>
    <row r="304" spans="1:27" s="48" customFormat="1" ht="18" customHeight="1">
      <c r="A304" s="159">
        <v>0</v>
      </c>
      <c r="B304" s="160"/>
      <c r="C304" s="160"/>
      <c r="D304" s="161"/>
      <c r="E304" s="265" t="s">
        <v>866</v>
      </c>
      <c r="F304" s="160"/>
      <c r="G304" s="160"/>
      <c r="H304" s="160"/>
      <c r="I304" s="160"/>
      <c r="J304" s="160"/>
      <c r="K304" s="160"/>
      <c r="L304" s="160"/>
      <c r="M304" s="159" t="s">
        <v>928</v>
      </c>
      <c r="N304" s="160"/>
      <c r="O304" s="160"/>
      <c r="P304" s="160"/>
      <c r="Q304" s="160"/>
      <c r="R304" s="281" t="s">
        <v>689</v>
      </c>
      <c r="S304" s="156" t="s">
        <v>19</v>
      </c>
      <c r="T304" s="157">
        <v>311</v>
      </c>
      <c r="U304" s="239">
        <v>0.15796460176991151</v>
      </c>
      <c r="V304" s="225"/>
      <c r="W304" s="288">
        <v>49.126999999999995</v>
      </c>
      <c r="X304" s="289"/>
      <c r="Y304" s="258" t="s">
        <v>538</v>
      </c>
      <c r="Z304" s="240" t="s">
        <v>328</v>
      </c>
      <c r="AA304" s="48">
        <v>49.126999999999995</v>
      </c>
    </row>
    <row r="305" spans="1:27" s="48" customFormat="1" ht="18" customHeight="1">
      <c r="A305" s="159">
        <v>0</v>
      </c>
      <c r="B305" s="160"/>
      <c r="C305" s="160"/>
      <c r="D305" s="161"/>
      <c r="E305" s="265" t="s">
        <v>867</v>
      </c>
      <c r="F305" s="160"/>
      <c r="G305" s="160"/>
      <c r="H305" s="160"/>
      <c r="I305" s="160"/>
      <c r="J305" s="160"/>
      <c r="K305" s="160"/>
      <c r="L305" s="160"/>
      <c r="M305" s="159" t="s">
        <v>930</v>
      </c>
      <c r="N305" s="160"/>
      <c r="O305" s="160"/>
      <c r="P305" s="160"/>
      <c r="Q305" s="160"/>
      <c r="R305" s="281" t="s">
        <v>717</v>
      </c>
      <c r="S305" s="156" t="s">
        <v>19</v>
      </c>
      <c r="T305" s="157">
        <v>10000</v>
      </c>
      <c r="U305" s="239">
        <v>1.0221238938053098E-2</v>
      </c>
      <c r="V305" s="225"/>
      <c r="W305" s="288">
        <v>102.21300000000001</v>
      </c>
      <c r="X305" s="289"/>
      <c r="Y305" s="258" t="s">
        <v>538</v>
      </c>
      <c r="Z305" s="240" t="s">
        <v>511</v>
      </c>
      <c r="AA305" s="48">
        <v>102.21300000000001</v>
      </c>
    </row>
    <row r="306" spans="1:27" s="48" customFormat="1" ht="18" customHeight="1">
      <c r="A306" s="159">
        <v>0</v>
      </c>
      <c r="B306" s="160"/>
      <c r="C306" s="160"/>
      <c r="D306" s="161"/>
      <c r="E306" s="265" t="s">
        <v>868</v>
      </c>
      <c r="F306" s="160"/>
      <c r="G306" s="160"/>
      <c r="H306" s="160"/>
      <c r="I306" s="160"/>
      <c r="J306" s="160"/>
      <c r="K306" s="160"/>
      <c r="L306" s="160"/>
      <c r="M306" s="159" t="s">
        <v>939</v>
      </c>
      <c r="N306" s="160"/>
      <c r="O306" s="160"/>
      <c r="P306" s="160"/>
      <c r="Q306" s="160"/>
      <c r="R306" s="281" t="s">
        <v>515</v>
      </c>
      <c r="S306" s="156" t="s">
        <v>924</v>
      </c>
      <c r="T306" s="285">
        <v>1</v>
      </c>
      <c r="U306" s="286">
        <v>84.070999999999998</v>
      </c>
      <c r="V306" s="287"/>
      <c r="W306" s="291">
        <v>84.070999999999998</v>
      </c>
      <c r="X306" s="292"/>
      <c r="Y306" s="258" t="s">
        <v>538</v>
      </c>
      <c r="Z306" s="240" t="s">
        <v>331</v>
      </c>
      <c r="AA306" s="48">
        <v>84.070999999999998</v>
      </c>
    </row>
    <row r="307" spans="1:27" s="48" customFormat="1" ht="18" customHeight="1">
      <c r="A307" s="159">
        <v>0</v>
      </c>
      <c r="B307" s="160"/>
      <c r="C307" s="160"/>
      <c r="D307" s="161"/>
      <c r="E307" s="265" t="s">
        <v>304</v>
      </c>
      <c r="F307" s="160"/>
      <c r="G307" s="160"/>
      <c r="H307" s="160"/>
      <c r="I307" s="160"/>
      <c r="J307" s="160"/>
      <c r="K307" s="160"/>
      <c r="L307" s="160"/>
      <c r="M307" s="159" t="s">
        <v>931</v>
      </c>
      <c r="N307" s="160"/>
      <c r="O307" s="160"/>
      <c r="P307" s="160"/>
      <c r="Q307" s="160"/>
      <c r="R307" s="281" t="s">
        <v>239</v>
      </c>
      <c r="S307" s="156" t="s">
        <v>19</v>
      </c>
      <c r="T307" s="157">
        <v>7120</v>
      </c>
      <c r="U307" s="239">
        <v>0.24716814159292036</v>
      </c>
      <c r="V307" s="225"/>
      <c r="W307" s="288">
        <v>1759.838</v>
      </c>
      <c r="X307" s="289"/>
      <c r="Y307" s="258" t="s">
        <v>541</v>
      </c>
      <c r="Z307" s="240" t="s">
        <v>130</v>
      </c>
      <c r="AA307" s="48">
        <v>1759.838</v>
      </c>
    </row>
    <row r="308" spans="1:27" s="48" customFormat="1" ht="18" customHeight="1">
      <c r="A308" s="159">
        <v>0</v>
      </c>
      <c r="B308" s="160"/>
      <c r="C308" s="160"/>
      <c r="D308" s="161"/>
      <c r="E308" s="265" t="s">
        <v>39</v>
      </c>
      <c r="F308" s="160"/>
      <c r="G308" s="160"/>
      <c r="H308" s="160"/>
      <c r="I308" s="160"/>
      <c r="J308" s="160"/>
      <c r="K308" s="160"/>
      <c r="L308" s="160"/>
      <c r="M308" s="159" t="s">
        <v>927</v>
      </c>
      <c r="N308" s="160"/>
      <c r="O308" s="160"/>
      <c r="P308" s="160"/>
      <c r="Q308" s="160"/>
      <c r="R308" s="281" t="s">
        <v>69</v>
      </c>
      <c r="S308" s="156" t="s">
        <v>19</v>
      </c>
      <c r="T308" s="157">
        <v>5500</v>
      </c>
      <c r="U308" s="239">
        <v>2.6946902654867256E-2</v>
      </c>
      <c r="V308" s="225"/>
      <c r="W308" s="288">
        <v>148.208</v>
      </c>
      <c r="X308" s="289"/>
      <c r="Y308" s="258" t="s">
        <v>538</v>
      </c>
      <c r="Z308" s="240" t="s">
        <v>125</v>
      </c>
      <c r="AA308" s="48">
        <v>148.208</v>
      </c>
    </row>
    <row r="309" spans="1:27" s="48" customFormat="1" ht="18" customHeight="1">
      <c r="A309" s="159">
        <v>0</v>
      </c>
      <c r="B309" s="160"/>
      <c r="C309" s="160"/>
      <c r="D309" s="161"/>
      <c r="E309" s="265" t="s">
        <v>87</v>
      </c>
      <c r="F309" s="160"/>
      <c r="G309" s="160"/>
      <c r="H309" s="160"/>
      <c r="I309" s="160"/>
      <c r="J309" s="160"/>
      <c r="K309" s="160"/>
      <c r="L309" s="160"/>
      <c r="M309" s="159" t="s">
        <v>927</v>
      </c>
      <c r="N309" s="160"/>
      <c r="O309" s="160"/>
      <c r="P309" s="160"/>
      <c r="Q309" s="160"/>
      <c r="R309" s="281" t="s">
        <v>86</v>
      </c>
      <c r="S309" s="156" t="s">
        <v>19</v>
      </c>
      <c r="T309" s="157">
        <v>31500</v>
      </c>
      <c r="U309" s="239">
        <v>4.088495575221239E-2</v>
      </c>
      <c r="V309" s="225"/>
      <c r="W309" s="288">
        <v>1287.877</v>
      </c>
      <c r="X309" s="289"/>
      <c r="Y309" s="258" t="s">
        <v>538</v>
      </c>
      <c r="Z309" s="240" t="s">
        <v>125</v>
      </c>
      <c r="AA309" s="48">
        <v>1287.877</v>
      </c>
    </row>
    <row r="310" spans="1:27" s="48" customFormat="1" ht="18" customHeight="1">
      <c r="A310" s="159">
        <v>0</v>
      </c>
      <c r="B310" s="160"/>
      <c r="C310" s="160"/>
      <c r="D310" s="161"/>
      <c r="E310" s="265" t="s">
        <v>50</v>
      </c>
      <c r="F310" s="160"/>
      <c r="G310" s="160"/>
      <c r="H310" s="160"/>
      <c r="I310" s="160"/>
      <c r="J310" s="160"/>
      <c r="K310" s="160"/>
      <c r="L310" s="160"/>
      <c r="M310" s="159" t="s">
        <v>927</v>
      </c>
      <c r="N310" s="160"/>
      <c r="O310" s="160"/>
      <c r="P310" s="160"/>
      <c r="Q310" s="160"/>
      <c r="R310" s="281" t="s">
        <v>113</v>
      </c>
      <c r="S310" s="156" t="s">
        <v>19</v>
      </c>
      <c r="T310" s="157">
        <v>1500</v>
      </c>
      <c r="U310" s="239">
        <v>1.5238938053097345E-2</v>
      </c>
      <c r="V310" s="225"/>
      <c r="W310" s="288">
        <v>22.859000000000002</v>
      </c>
      <c r="X310" s="289"/>
      <c r="Y310" s="258" t="s">
        <v>538</v>
      </c>
      <c r="Z310" s="240" t="s">
        <v>125</v>
      </c>
      <c r="AA310" s="48">
        <v>22.859000000000002</v>
      </c>
    </row>
    <row r="311" spans="1:27" s="48" customFormat="1" ht="18" customHeight="1">
      <c r="A311" s="159">
        <v>0</v>
      </c>
      <c r="B311" s="160"/>
      <c r="C311" s="160"/>
      <c r="D311" s="161"/>
      <c r="E311" s="265" t="s">
        <v>38</v>
      </c>
      <c r="F311" s="160"/>
      <c r="G311" s="160"/>
      <c r="H311" s="160"/>
      <c r="I311" s="160"/>
      <c r="J311" s="160"/>
      <c r="K311" s="160"/>
      <c r="L311" s="160"/>
      <c r="M311" s="159" t="s">
        <v>927</v>
      </c>
      <c r="N311" s="160"/>
      <c r="O311" s="160"/>
      <c r="P311" s="160"/>
      <c r="Q311" s="160"/>
      <c r="R311" s="281" t="s">
        <v>114</v>
      </c>
      <c r="S311" s="156" t="s">
        <v>19</v>
      </c>
      <c r="T311" s="157">
        <v>300</v>
      </c>
      <c r="U311" s="239">
        <v>2.7876106194690265E-2</v>
      </c>
      <c r="V311" s="225"/>
      <c r="W311" s="288">
        <v>8.3629999999999995</v>
      </c>
      <c r="X311" s="289"/>
      <c r="Y311" s="258" t="s">
        <v>538</v>
      </c>
      <c r="Z311" s="240" t="s">
        <v>125</v>
      </c>
      <c r="AA311" s="48">
        <v>8.3629999999999995</v>
      </c>
    </row>
    <row r="312" spans="1:27" s="48" customFormat="1" ht="18" customHeight="1">
      <c r="A312" s="159">
        <v>0</v>
      </c>
      <c r="B312" s="160"/>
      <c r="C312" s="160"/>
      <c r="D312" s="161"/>
      <c r="E312" s="265" t="s">
        <v>164</v>
      </c>
      <c r="F312" s="160"/>
      <c r="G312" s="160"/>
      <c r="H312" s="160"/>
      <c r="I312" s="160"/>
      <c r="J312" s="160"/>
      <c r="K312" s="160"/>
      <c r="L312" s="160"/>
      <c r="M312" s="159" t="s">
        <v>927</v>
      </c>
      <c r="N312" s="160"/>
      <c r="O312" s="160"/>
      <c r="P312" s="160"/>
      <c r="Q312" s="160"/>
      <c r="R312" s="281" t="s">
        <v>163</v>
      </c>
      <c r="S312" s="156" t="s">
        <v>19</v>
      </c>
      <c r="T312" s="157">
        <v>8400</v>
      </c>
      <c r="U312" s="239">
        <v>3.4380530973451326E-2</v>
      </c>
      <c r="V312" s="225"/>
      <c r="W312" s="288">
        <v>288.79699999999997</v>
      </c>
      <c r="X312" s="289"/>
      <c r="Y312" s="258" t="s">
        <v>538</v>
      </c>
      <c r="Z312" s="240" t="s">
        <v>125</v>
      </c>
      <c r="AA312" s="48">
        <v>288.79699999999997</v>
      </c>
    </row>
    <row r="313" spans="1:27" s="48" customFormat="1" ht="18" customHeight="1">
      <c r="A313" s="159">
        <v>0</v>
      </c>
      <c r="B313" s="160"/>
      <c r="C313" s="160"/>
      <c r="D313" s="161"/>
      <c r="E313" s="265" t="s">
        <v>869</v>
      </c>
      <c r="F313" s="160"/>
      <c r="G313" s="160"/>
      <c r="H313" s="160"/>
      <c r="I313" s="160"/>
      <c r="J313" s="160"/>
      <c r="K313" s="160"/>
      <c r="L313" s="160"/>
      <c r="M313" s="159" t="s">
        <v>927</v>
      </c>
      <c r="N313" s="160"/>
      <c r="O313" s="160"/>
      <c r="P313" s="160"/>
      <c r="Q313" s="160"/>
      <c r="R313" s="281" t="s">
        <v>616</v>
      </c>
      <c r="S313" s="156" t="s">
        <v>19</v>
      </c>
      <c r="T313" s="157">
        <v>24500</v>
      </c>
      <c r="U313" s="239">
        <v>1.5982300884955752E-2</v>
      </c>
      <c r="V313" s="225"/>
      <c r="W313" s="288">
        <v>391.56699999999995</v>
      </c>
      <c r="X313" s="289"/>
      <c r="Y313" s="258" t="s">
        <v>538</v>
      </c>
      <c r="Z313" s="240" t="s">
        <v>125</v>
      </c>
      <c r="AA313" s="48">
        <v>391.56699999999995</v>
      </c>
    </row>
    <row r="314" spans="1:27" s="48" customFormat="1" ht="18" customHeight="1">
      <c r="A314" s="159">
        <v>0</v>
      </c>
      <c r="B314" s="160"/>
      <c r="C314" s="160"/>
      <c r="D314" s="161"/>
      <c r="E314" s="265" t="s">
        <v>459</v>
      </c>
      <c r="F314" s="160"/>
      <c r="G314" s="160"/>
      <c r="H314" s="160"/>
      <c r="I314" s="160"/>
      <c r="J314" s="160"/>
      <c r="K314" s="160"/>
      <c r="L314" s="160"/>
      <c r="M314" s="159" t="s">
        <v>927</v>
      </c>
      <c r="N314" s="160"/>
      <c r="O314" s="160"/>
      <c r="P314" s="160"/>
      <c r="Q314" s="160"/>
      <c r="R314" s="281" t="s">
        <v>383</v>
      </c>
      <c r="S314" s="156" t="s">
        <v>19</v>
      </c>
      <c r="T314" s="157">
        <v>5000</v>
      </c>
      <c r="U314" s="239">
        <v>5.9469026548672567E-2</v>
      </c>
      <c r="V314" s="225"/>
      <c r="W314" s="288">
        <v>297.346</v>
      </c>
      <c r="X314" s="289"/>
      <c r="Y314" s="258" t="s">
        <v>538</v>
      </c>
      <c r="Z314" s="240" t="s">
        <v>511</v>
      </c>
      <c r="AA314" s="48">
        <v>297.346</v>
      </c>
    </row>
    <row r="315" spans="1:27" s="48" customFormat="1" ht="18" customHeight="1">
      <c r="A315" s="159">
        <v>0</v>
      </c>
      <c r="B315" s="160"/>
      <c r="C315" s="160"/>
      <c r="D315" s="161"/>
      <c r="E315" s="265" t="s">
        <v>870</v>
      </c>
      <c r="F315" s="160"/>
      <c r="G315" s="160"/>
      <c r="H315" s="160"/>
      <c r="I315" s="160"/>
      <c r="J315" s="160"/>
      <c r="K315" s="160"/>
      <c r="L315" s="160"/>
      <c r="M315" s="159" t="s">
        <v>927</v>
      </c>
      <c r="N315" s="160"/>
      <c r="O315" s="160"/>
      <c r="P315" s="160"/>
      <c r="Q315" s="160"/>
      <c r="R315" s="281" t="s">
        <v>657</v>
      </c>
      <c r="S315" s="156" t="s">
        <v>19</v>
      </c>
      <c r="T315" s="157">
        <v>300</v>
      </c>
      <c r="U315" s="239">
        <v>3.4380530973451326E-2</v>
      </c>
      <c r="V315" s="225"/>
      <c r="W315" s="288">
        <v>10.315</v>
      </c>
      <c r="X315" s="289"/>
      <c r="Y315" s="258" t="s">
        <v>538</v>
      </c>
      <c r="Z315" s="240" t="s">
        <v>125</v>
      </c>
      <c r="AA315" s="48">
        <v>10.315</v>
      </c>
    </row>
    <row r="316" spans="1:27" s="48" customFormat="1" ht="18" customHeight="1">
      <c r="A316" s="159">
        <v>0</v>
      </c>
      <c r="B316" s="160"/>
      <c r="C316" s="160"/>
      <c r="D316" s="161"/>
      <c r="E316" s="265" t="s">
        <v>456</v>
      </c>
      <c r="F316" s="160"/>
      <c r="G316" s="160"/>
      <c r="H316" s="160"/>
      <c r="I316" s="160"/>
      <c r="J316" s="160"/>
      <c r="K316" s="160"/>
      <c r="L316" s="160"/>
      <c r="M316" s="159" t="s">
        <v>927</v>
      </c>
      <c r="N316" s="160"/>
      <c r="O316" s="160"/>
      <c r="P316" s="160"/>
      <c r="Q316" s="160"/>
      <c r="R316" s="281" t="s">
        <v>380</v>
      </c>
      <c r="S316" s="156" t="s">
        <v>19</v>
      </c>
      <c r="T316" s="157">
        <v>4200</v>
      </c>
      <c r="U316" s="239">
        <v>6.5973451327433624E-2</v>
      </c>
      <c r="V316" s="225"/>
      <c r="W316" s="288">
        <v>277.089</v>
      </c>
      <c r="X316" s="289"/>
      <c r="Y316" s="258" t="s">
        <v>538</v>
      </c>
      <c r="Z316" s="240" t="s">
        <v>511</v>
      </c>
      <c r="AA316" s="48">
        <v>277.089</v>
      </c>
    </row>
    <row r="317" spans="1:27" s="48" customFormat="1" ht="18" customHeight="1">
      <c r="A317" s="159">
        <v>0</v>
      </c>
      <c r="B317" s="160"/>
      <c r="C317" s="160"/>
      <c r="D317" s="161"/>
      <c r="E317" s="265" t="s">
        <v>871</v>
      </c>
      <c r="F317" s="160"/>
      <c r="G317" s="160"/>
      <c r="H317" s="160"/>
      <c r="I317" s="160"/>
      <c r="J317" s="160"/>
      <c r="K317" s="160"/>
      <c r="L317" s="160"/>
      <c r="M317" s="159" t="s">
        <v>927</v>
      </c>
      <c r="N317" s="160"/>
      <c r="O317" s="160"/>
      <c r="P317" s="160"/>
      <c r="Q317" s="160"/>
      <c r="R317" s="283" t="s">
        <v>615</v>
      </c>
      <c r="S317" s="156" t="s">
        <v>19</v>
      </c>
      <c r="T317" s="157">
        <v>2000</v>
      </c>
      <c r="U317" s="239">
        <v>1.5982300884955752E-2</v>
      </c>
      <c r="V317" s="225"/>
      <c r="W317" s="288">
        <v>31.965</v>
      </c>
      <c r="X317" s="289"/>
      <c r="Y317" s="258" t="s">
        <v>538</v>
      </c>
      <c r="Z317" s="240" t="s">
        <v>125</v>
      </c>
      <c r="AA317" s="48">
        <v>31.965</v>
      </c>
    </row>
    <row r="318" spans="1:27" s="48" customFormat="1" ht="18" customHeight="1">
      <c r="A318" s="159">
        <v>0</v>
      </c>
      <c r="B318" s="160"/>
      <c r="C318" s="160"/>
      <c r="D318" s="161"/>
      <c r="E318" s="265" t="s">
        <v>454</v>
      </c>
      <c r="F318" s="160"/>
      <c r="G318" s="160"/>
      <c r="H318" s="160"/>
      <c r="I318" s="160"/>
      <c r="J318" s="160"/>
      <c r="K318" s="160"/>
      <c r="L318" s="160"/>
      <c r="M318" s="159" t="s">
        <v>927</v>
      </c>
      <c r="N318" s="160"/>
      <c r="O318" s="160"/>
      <c r="P318" s="160"/>
      <c r="Q318" s="160"/>
      <c r="R318" s="281" t="s">
        <v>378</v>
      </c>
      <c r="S318" s="156" t="s">
        <v>19</v>
      </c>
      <c r="T318" s="157">
        <v>6900</v>
      </c>
      <c r="U318" s="239">
        <v>3.6238938053097344E-2</v>
      </c>
      <c r="V318" s="225"/>
      <c r="W318" s="288">
        <v>250.04900000000001</v>
      </c>
      <c r="X318" s="289"/>
      <c r="Y318" s="258" t="s">
        <v>538</v>
      </c>
      <c r="Z318" s="240" t="s">
        <v>511</v>
      </c>
      <c r="AA318" s="48">
        <v>250.04900000000001</v>
      </c>
    </row>
    <row r="319" spans="1:27" s="48" customFormat="1" ht="18" customHeight="1">
      <c r="A319" s="159">
        <v>0</v>
      </c>
      <c r="B319" s="160"/>
      <c r="C319" s="160"/>
      <c r="D319" s="161"/>
      <c r="E319" s="265" t="s">
        <v>457</v>
      </c>
      <c r="F319" s="160"/>
      <c r="G319" s="160"/>
      <c r="H319" s="160"/>
      <c r="I319" s="160"/>
      <c r="J319" s="160"/>
      <c r="K319" s="160"/>
      <c r="L319" s="160"/>
      <c r="M319" s="159" t="s">
        <v>927</v>
      </c>
      <c r="N319" s="160"/>
      <c r="O319" s="160"/>
      <c r="P319" s="160"/>
      <c r="Q319" s="160"/>
      <c r="R319" s="281" t="s">
        <v>381</v>
      </c>
      <c r="S319" s="156" t="s">
        <v>19</v>
      </c>
      <c r="T319" s="157">
        <v>3000</v>
      </c>
      <c r="U319" s="239">
        <v>5.9469026548672567E-2</v>
      </c>
      <c r="V319" s="225"/>
      <c r="W319" s="288">
        <v>178.40800000000002</v>
      </c>
      <c r="X319" s="289"/>
      <c r="Y319" s="258" t="s">
        <v>538</v>
      </c>
      <c r="Z319" s="240" t="s">
        <v>511</v>
      </c>
      <c r="AA319" s="48">
        <v>178.40800000000002</v>
      </c>
    </row>
    <row r="320" spans="1:27" s="48" customFormat="1" ht="18" customHeight="1">
      <c r="A320" s="159">
        <v>0</v>
      </c>
      <c r="B320" s="160"/>
      <c r="C320" s="160"/>
      <c r="D320" s="161"/>
      <c r="E320" s="265" t="s">
        <v>52</v>
      </c>
      <c r="F320" s="160"/>
      <c r="G320" s="160"/>
      <c r="H320" s="160"/>
      <c r="I320" s="160"/>
      <c r="J320" s="160"/>
      <c r="K320" s="160"/>
      <c r="L320" s="160"/>
      <c r="M320" s="159" t="s">
        <v>927</v>
      </c>
      <c r="N320" s="160"/>
      <c r="O320" s="160"/>
      <c r="P320" s="160"/>
      <c r="Q320" s="160"/>
      <c r="R320" s="281" t="s">
        <v>115</v>
      </c>
      <c r="S320" s="156" t="s">
        <v>19</v>
      </c>
      <c r="T320" s="157">
        <v>300</v>
      </c>
      <c r="U320" s="239">
        <v>3.7168141592920353E-2</v>
      </c>
      <c r="V320" s="225"/>
      <c r="W320" s="288">
        <v>11.151</v>
      </c>
      <c r="X320" s="289"/>
      <c r="Y320" s="258" t="s">
        <v>538</v>
      </c>
      <c r="Z320" s="240" t="s">
        <v>125</v>
      </c>
      <c r="AA320" s="48">
        <v>11.151</v>
      </c>
    </row>
    <row r="321" spans="1:27" s="48" customFormat="1" ht="18" customHeight="1">
      <c r="A321" s="159">
        <v>0</v>
      </c>
      <c r="B321" s="160"/>
      <c r="C321" s="160"/>
      <c r="D321" s="161"/>
      <c r="E321" s="265" t="s">
        <v>458</v>
      </c>
      <c r="F321" s="160"/>
      <c r="G321" s="160"/>
      <c r="H321" s="160"/>
      <c r="I321" s="160"/>
      <c r="J321" s="160"/>
      <c r="K321" s="160"/>
      <c r="L321" s="160"/>
      <c r="M321" s="159" t="s">
        <v>927</v>
      </c>
      <c r="N321" s="160"/>
      <c r="O321" s="160"/>
      <c r="P321" s="160"/>
      <c r="Q321" s="160"/>
      <c r="R321" s="281" t="s">
        <v>382</v>
      </c>
      <c r="S321" s="156" t="s">
        <v>19</v>
      </c>
      <c r="T321" s="157">
        <v>1000</v>
      </c>
      <c r="U321" s="239">
        <v>6.2256637168141588E-2</v>
      </c>
      <c r="V321" s="225"/>
      <c r="W321" s="288">
        <v>62.256999999999998</v>
      </c>
      <c r="X321" s="289"/>
      <c r="Y321" s="258" t="s">
        <v>538</v>
      </c>
      <c r="Z321" s="240" t="s">
        <v>511</v>
      </c>
      <c r="AA321" s="48">
        <v>62.256999999999998</v>
      </c>
    </row>
    <row r="322" spans="1:27" s="48" customFormat="1" ht="18" customHeight="1">
      <c r="A322" s="159">
        <v>0</v>
      </c>
      <c r="B322" s="160"/>
      <c r="C322" s="160"/>
      <c r="D322" s="161"/>
      <c r="E322" s="265" t="s">
        <v>24</v>
      </c>
      <c r="F322" s="160"/>
      <c r="G322" s="160"/>
      <c r="H322" s="160"/>
      <c r="I322" s="160"/>
      <c r="J322" s="160"/>
      <c r="K322" s="160"/>
      <c r="L322" s="160"/>
      <c r="M322" s="159" t="s">
        <v>925</v>
      </c>
      <c r="N322" s="160"/>
      <c r="O322" s="160"/>
      <c r="P322" s="160"/>
      <c r="Q322" s="160"/>
      <c r="R322" s="281" t="s">
        <v>98</v>
      </c>
      <c r="S322" s="156" t="s">
        <v>19</v>
      </c>
      <c r="T322" s="157">
        <v>900</v>
      </c>
      <c r="U322" s="239">
        <v>0.7665929203539823</v>
      </c>
      <c r="V322" s="225"/>
      <c r="W322" s="288">
        <v>689.93399999999997</v>
      </c>
      <c r="X322" s="289"/>
      <c r="Y322" s="258" t="s">
        <v>538</v>
      </c>
      <c r="Z322" s="240" t="s">
        <v>132</v>
      </c>
      <c r="AA322" s="48">
        <v>689.93399999999997</v>
      </c>
    </row>
    <row r="323" spans="1:27" s="48" customFormat="1" ht="18" customHeight="1">
      <c r="A323" s="159">
        <v>0</v>
      </c>
      <c r="B323" s="160"/>
      <c r="C323" s="160"/>
      <c r="D323" s="161"/>
      <c r="E323" s="265" t="s">
        <v>22</v>
      </c>
      <c r="F323" s="160"/>
      <c r="G323" s="160"/>
      <c r="H323" s="160"/>
      <c r="I323" s="160"/>
      <c r="J323" s="160"/>
      <c r="K323" s="160"/>
      <c r="L323" s="160"/>
      <c r="M323" s="159" t="s">
        <v>925</v>
      </c>
      <c r="N323" s="160"/>
      <c r="O323" s="160"/>
      <c r="P323" s="160"/>
      <c r="Q323" s="160"/>
      <c r="R323" s="281" t="s">
        <v>66</v>
      </c>
      <c r="S323" s="156" t="s">
        <v>19</v>
      </c>
      <c r="T323" s="157">
        <v>200</v>
      </c>
      <c r="U323" s="239">
        <v>1.0276991150442478</v>
      </c>
      <c r="V323" s="225"/>
      <c r="W323" s="288">
        <v>205.54</v>
      </c>
      <c r="X323" s="289"/>
      <c r="Y323" s="258" t="s">
        <v>538</v>
      </c>
      <c r="Z323" s="240" t="s">
        <v>132</v>
      </c>
      <c r="AA323" s="48">
        <v>205.54</v>
      </c>
    </row>
    <row r="324" spans="1:27" s="48" customFormat="1" ht="18" customHeight="1">
      <c r="A324" s="159">
        <v>0</v>
      </c>
      <c r="B324" s="160"/>
      <c r="C324" s="160"/>
      <c r="D324" s="161"/>
      <c r="E324" s="265" t="s">
        <v>872</v>
      </c>
      <c r="F324" s="160"/>
      <c r="G324" s="160"/>
      <c r="H324" s="160"/>
      <c r="I324" s="160"/>
      <c r="J324" s="160"/>
      <c r="K324" s="160"/>
      <c r="L324" s="160"/>
      <c r="M324" s="159" t="s">
        <v>925</v>
      </c>
      <c r="N324" s="160"/>
      <c r="O324" s="160"/>
      <c r="P324" s="160"/>
      <c r="Q324" s="160"/>
      <c r="R324" s="281" t="s">
        <v>718</v>
      </c>
      <c r="S324" s="156" t="s">
        <v>19</v>
      </c>
      <c r="T324" s="157">
        <v>318</v>
      </c>
      <c r="U324" s="239">
        <v>0.30013274336283186</v>
      </c>
      <c r="V324" s="225"/>
      <c r="W324" s="288">
        <v>95.442999999999998</v>
      </c>
      <c r="X324" s="289"/>
      <c r="Y324" s="258" t="s">
        <v>538</v>
      </c>
      <c r="Z324" s="240" t="s">
        <v>197</v>
      </c>
      <c r="AA324" s="48">
        <v>95.442999999999998</v>
      </c>
    </row>
    <row r="325" spans="1:27" s="48" customFormat="1" ht="18" customHeight="1">
      <c r="A325" s="159">
        <v>0</v>
      </c>
      <c r="B325" s="160"/>
      <c r="C325" s="160"/>
      <c r="D325" s="161"/>
      <c r="E325" s="265" t="s">
        <v>873</v>
      </c>
      <c r="F325" s="160"/>
      <c r="G325" s="160"/>
      <c r="H325" s="160"/>
      <c r="I325" s="160"/>
      <c r="J325" s="160"/>
      <c r="K325" s="160"/>
      <c r="L325" s="160"/>
      <c r="M325" s="159" t="s">
        <v>925</v>
      </c>
      <c r="N325" s="160"/>
      <c r="O325" s="160"/>
      <c r="P325" s="160"/>
      <c r="Q325" s="160"/>
      <c r="R325" s="281" t="s">
        <v>719</v>
      </c>
      <c r="S325" s="156" t="s">
        <v>19</v>
      </c>
      <c r="T325" s="157">
        <v>400</v>
      </c>
      <c r="U325" s="239">
        <v>5.2504424778761064E-2</v>
      </c>
      <c r="V325" s="225"/>
      <c r="W325" s="288">
        <v>21.002000000000002</v>
      </c>
      <c r="X325" s="289"/>
      <c r="Y325" s="258" t="s">
        <v>538</v>
      </c>
      <c r="Z325" s="240" t="s">
        <v>197</v>
      </c>
      <c r="AA325" s="48">
        <v>21.002000000000002</v>
      </c>
    </row>
    <row r="326" spans="1:27" s="48" customFormat="1" ht="18" customHeight="1">
      <c r="A326" s="159">
        <v>0</v>
      </c>
      <c r="B326" s="160"/>
      <c r="C326" s="160"/>
      <c r="D326" s="161"/>
      <c r="E326" s="265" t="s">
        <v>85</v>
      </c>
      <c r="F326" s="160"/>
      <c r="G326" s="160"/>
      <c r="H326" s="160"/>
      <c r="I326" s="160"/>
      <c r="J326" s="160"/>
      <c r="K326" s="160"/>
      <c r="L326" s="160"/>
      <c r="M326" s="159" t="s">
        <v>927</v>
      </c>
      <c r="N326" s="160"/>
      <c r="O326" s="160"/>
      <c r="P326" s="160"/>
      <c r="Q326" s="160"/>
      <c r="R326" s="281" t="s">
        <v>84</v>
      </c>
      <c r="S326" s="156" t="s">
        <v>19</v>
      </c>
      <c r="T326" s="157">
        <v>34000</v>
      </c>
      <c r="U326" s="239">
        <v>5.5752212389380534E-3</v>
      </c>
      <c r="V326" s="225"/>
      <c r="W326" s="288">
        <v>189.55799999999999</v>
      </c>
      <c r="X326" s="289"/>
      <c r="Y326" s="258" t="s">
        <v>541</v>
      </c>
      <c r="Z326" s="240" t="s">
        <v>125</v>
      </c>
      <c r="AA326" s="48">
        <v>189.55799999999999</v>
      </c>
    </row>
    <row r="327" spans="1:27" s="48" customFormat="1" ht="18" customHeight="1">
      <c r="A327" s="159">
        <v>0</v>
      </c>
      <c r="B327" s="160"/>
      <c r="C327" s="160"/>
      <c r="D327" s="161"/>
      <c r="E327" s="265" t="s">
        <v>25</v>
      </c>
      <c r="F327" s="160"/>
      <c r="G327" s="160"/>
      <c r="H327" s="160"/>
      <c r="I327" s="160"/>
      <c r="J327" s="160"/>
      <c r="K327" s="160"/>
      <c r="L327" s="160"/>
      <c r="M327" s="159" t="s">
        <v>927</v>
      </c>
      <c r="N327" s="160"/>
      <c r="O327" s="160"/>
      <c r="P327" s="160"/>
      <c r="Q327" s="160"/>
      <c r="R327" s="281" t="s">
        <v>116</v>
      </c>
      <c r="S327" s="156" t="s">
        <v>19</v>
      </c>
      <c r="T327" s="157">
        <v>22000</v>
      </c>
      <c r="U327" s="239">
        <v>1.3380530973451326E-2</v>
      </c>
      <c r="V327" s="225"/>
      <c r="W327" s="288">
        <v>294.37199999999996</v>
      </c>
      <c r="X327" s="289"/>
      <c r="Y327" s="258" t="s">
        <v>541</v>
      </c>
      <c r="Z327" s="240" t="s">
        <v>125</v>
      </c>
      <c r="AA327" s="48">
        <v>294.37199999999996</v>
      </c>
    </row>
    <row r="328" spans="1:27" s="48" customFormat="1" ht="18" customHeight="1">
      <c r="A328" s="159">
        <v>0</v>
      </c>
      <c r="B328" s="160"/>
      <c r="C328" s="160"/>
      <c r="D328" s="161"/>
      <c r="E328" s="265" t="s">
        <v>874</v>
      </c>
      <c r="F328" s="160"/>
      <c r="G328" s="160"/>
      <c r="H328" s="160"/>
      <c r="I328" s="160"/>
      <c r="J328" s="160"/>
      <c r="K328" s="160"/>
      <c r="L328" s="160"/>
      <c r="M328" s="159" t="s">
        <v>925</v>
      </c>
      <c r="N328" s="160"/>
      <c r="O328" s="160"/>
      <c r="P328" s="160"/>
      <c r="Q328" s="160"/>
      <c r="R328" s="281" t="s">
        <v>637</v>
      </c>
      <c r="S328" s="156" t="s">
        <v>19</v>
      </c>
      <c r="T328" s="157">
        <v>2500</v>
      </c>
      <c r="U328" s="239">
        <v>0.23230088495575221</v>
      </c>
      <c r="V328" s="225"/>
      <c r="W328" s="288">
        <v>580.75299999999993</v>
      </c>
      <c r="X328" s="289"/>
      <c r="Y328" s="258" t="s">
        <v>538</v>
      </c>
      <c r="Z328" s="240" t="s">
        <v>130</v>
      </c>
      <c r="AA328" s="48">
        <v>580.75299999999993</v>
      </c>
    </row>
    <row r="329" spans="1:27" s="48" customFormat="1" ht="18" customHeight="1">
      <c r="A329" s="159">
        <v>0</v>
      </c>
      <c r="B329" s="160"/>
      <c r="C329" s="160"/>
      <c r="D329" s="161"/>
      <c r="E329" s="265" t="s">
        <v>875</v>
      </c>
      <c r="F329" s="160"/>
      <c r="G329" s="160"/>
      <c r="H329" s="160"/>
      <c r="I329" s="160"/>
      <c r="J329" s="160"/>
      <c r="K329" s="160"/>
      <c r="L329" s="160"/>
      <c r="M329" s="159" t="s">
        <v>925</v>
      </c>
      <c r="N329" s="160"/>
      <c r="O329" s="160"/>
      <c r="P329" s="160"/>
      <c r="Q329" s="160"/>
      <c r="R329" s="281" t="s">
        <v>683</v>
      </c>
      <c r="S329" s="156" t="s">
        <v>19</v>
      </c>
      <c r="T329" s="157">
        <v>672</v>
      </c>
      <c r="U329" s="239">
        <v>0.84836283185840711</v>
      </c>
      <c r="V329" s="225"/>
      <c r="W329" s="288">
        <v>570.1</v>
      </c>
      <c r="X329" s="289"/>
      <c r="Y329" s="258" t="s">
        <v>538</v>
      </c>
      <c r="Z329" s="240" t="s">
        <v>130</v>
      </c>
      <c r="AA329" s="48">
        <v>570.1</v>
      </c>
    </row>
    <row r="330" spans="1:27" s="48" customFormat="1" ht="18" customHeight="1">
      <c r="A330" s="159">
        <v>0</v>
      </c>
      <c r="B330" s="160"/>
      <c r="C330" s="160"/>
      <c r="D330" s="161"/>
      <c r="E330" s="265" t="s">
        <v>33</v>
      </c>
      <c r="F330" s="160"/>
      <c r="G330" s="160"/>
      <c r="H330" s="160"/>
      <c r="I330" s="160"/>
      <c r="J330" s="160"/>
      <c r="K330" s="160"/>
      <c r="L330" s="160"/>
      <c r="M330" s="159" t="s">
        <v>925</v>
      </c>
      <c r="N330" s="160"/>
      <c r="O330" s="160"/>
      <c r="P330" s="160"/>
      <c r="Q330" s="160"/>
      <c r="R330" s="281" t="s">
        <v>97</v>
      </c>
      <c r="S330" s="156" t="s">
        <v>19</v>
      </c>
      <c r="T330" s="157">
        <v>200</v>
      </c>
      <c r="U330" s="239">
        <v>0.40513274336283189</v>
      </c>
      <c r="V330" s="225"/>
      <c r="W330" s="288">
        <v>81.027000000000001</v>
      </c>
      <c r="X330" s="289"/>
      <c r="Y330" s="258" t="s">
        <v>542</v>
      </c>
      <c r="Z330" s="240" t="s">
        <v>130</v>
      </c>
      <c r="AA330" s="48">
        <v>81.027000000000001</v>
      </c>
    </row>
    <row r="331" spans="1:27" s="48" customFormat="1" ht="18" customHeight="1">
      <c r="A331" s="159">
        <v>0</v>
      </c>
      <c r="B331" s="160"/>
      <c r="C331" s="160"/>
      <c r="D331" s="161"/>
      <c r="E331" s="265" t="s">
        <v>32</v>
      </c>
      <c r="F331" s="160"/>
      <c r="G331" s="160"/>
      <c r="H331" s="160"/>
      <c r="I331" s="160"/>
      <c r="J331" s="160"/>
      <c r="K331" s="160"/>
      <c r="L331" s="160"/>
      <c r="M331" s="159" t="s">
        <v>928</v>
      </c>
      <c r="N331" s="160"/>
      <c r="O331" s="160"/>
      <c r="P331" s="160"/>
      <c r="Q331" s="160"/>
      <c r="R331" s="281" t="s">
        <v>108</v>
      </c>
      <c r="S331" s="156" t="s">
        <v>19</v>
      </c>
      <c r="T331" s="157">
        <v>200</v>
      </c>
      <c r="U331" s="239">
        <v>5.9469026548672567E-2</v>
      </c>
      <c r="V331" s="225"/>
      <c r="W331" s="288">
        <v>11.894</v>
      </c>
      <c r="X331" s="289"/>
      <c r="Y331" s="258" t="s">
        <v>542</v>
      </c>
      <c r="Z331" s="240" t="s">
        <v>130</v>
      </c>
      <c r="AA331" s="48">
        <v>11.894</v>
      </c>
    </row>
    <row r="332" spans="1:27" s="48" customFormat="1" ht="18" customHeight="1">
      <c r="A332" s="159">
        <v>0</v>
      </c>
      <c r="B332" s="160"/>
      <c r="C332" s="160"/>
      <c r="D332" s="161"/>
      <c r="E332" s="265" t="s">
        <v>30</v>
      </c>
      <c r="F332" s="160"/>
      <c r="G332" s="160"/>
      <c r="H332" s="160"/>
      <c r="I332" s="160"/>
      <c r="J332" s="160"/>
      <c r="K332" s="160"/>
      <c r="L332" s="160"/>
      <c r="M332" s="159" t="s">
        <v>928</v>
      </c>
      <c r="N332" s="160"/>
      <c r="O332" s="160"/>
      <c r="P332" s="160"/>
      <c r="Q332" s="160"/>
      <c r="R332" s="281" t="s">
        <v>110</v>
      </c>
      <c r="S332" s="156" t="s">
        <v>19</v>
      </c>
      <c r="T332" s="157">
        <v>100</v>
      </c>
      <c r="U332" s="239">
        <v>5.0176991150442482E-2</v>
      </c>
      <c r="V332" s="225"/>
      <c r="W332" s="288">
        <v>5.0180000000000007</v>
      </c>
      <c r="X332" s="289"/>
      <c r="Y332" s="258" t="s">
        <v>542</v>
      </c>
      <c r="Z332" s="240" t="s">
        <v>130</v>
      </c>
      <c r="AA332" s="48">
        <v>5.0180000000000007</v>
      </c>
    </row>
    <row r="333" spans="1:27" s="48" customFormat="1" ht="18" customHeight="1">
      <c r="A333" s="159">
        <v>0</v>
      </c>
      <c r="B333" s="160"/>
      <c r="C333" s="160"/>
      <c r="D333" s="161"/>
      <c r="E333" s="265" t="s">
        <v>440</v>
      </c>
      <c r="F333" s="160"/>
      <c r="G333" s="160"/>
      <c r="H333" s="160"/>
      <c r="I333" s="160"/>
      <c r="J333" s="160"/>
      <c r="K333" s="160"/>
      <c r="L333" s="160"/>
      <c r="M333" s="159" t="s">
        <v>927</v>
      </c>
      <c r="N333" s="160"/>
      <c r="O333" s="160"/>
      <c r="P333" s="160"/>
      <c r="Q333" s="160"/>
      <c r="R333" s="281" t="s">
        <v>364</v>
      </c>
      <c r="S333" s="156" t="s">
        <v>19</v>
      </c>
      <c r="T333" s="157">
        <v>2500</v>
      </c>
      <c r="U333" s="239">
        <v>2.5088495575221241E-2</v>
      </c>
      <c r="V333" s="225"/>
      <c r="W333" s="288">
        <v>62.721999999999994</v>
      </c>
      <c r="X333" s="289"/>
      <c r="Y333" s="258" t="s">
        <v>538</v>
      </c>
      <c r="Z333" s="240" t="s">
        <v>511</v>
      </c>
      <c r="AA333" s="48">
        <v>62.721999999999994</v>
      </c>
    </row>
    <row r="334" spans="1:27" s="48" customFormat="1" ht="18" customHeight="1">
      <c r="A334" s="159">
        <v>0</v>
      </c>
      <c r="B334" s="160"/>
      <c r="C334" s="160"/>
      <c r="D334" s="161"/>
      <c r="E334" s="265" t="s">
        <v>876</v>
      </c>
      <c r="F334" s="160"/>
      <c r="G334" s="160"/>
      <c r="H334" s="160"/>
      <c r="I334" s="160"/>
      <c r="J334" s="160"/>
      <c r="K334" s="160"/>
      <c r="L334" s="160"/>
      <c r="M334" s="159" t="s">
        <v>929</v>
      </c>
      <c r="N334" s="160"/>
      <c r="O334" s="160"/>
      <c r="P334" s="160"/>
      <c r="Q334" s="160"/>
      <c r="R334" s="281" t="s">
        <v>714</v>
      </c>
      <c r="S334" s="156" t="s">
        <v>19</v>
      </c>
      <c r="T334" s="157">
        <v>300</v>
      </c>
      <c r="U334" s="239">
        <v>0.34380530973451329</v>
      </c>
      <c r="V334" s="225"/>
      <c r="W334" s="288">
        <v>103.14200000000001</v>
      </c>
      <c r="X334" s="289"/>
      <c r="Y334" s="258" t="s">
        <v>538</v>
      </c>
      <c r="Z334" s="240" t="s">
        <v>130</v>
      </c>
      <c r="AA334" s="48">
        <v>103.14200000000001</v>
      </c>
    </row>
    <row r="335" spans="1:27" s="48" customFormat="1" ht="18" customHeight="1">
      <c r="A335" s="159">
        <v>0</v>
      </c>
      <c r="B335" s="160"/>
      <c r="C335" s="160"/>
      <c r="D335" s="161"/>
      <c r="E335" s="265" t="s">
        <v>178</v>
      </c>
      <c r="F335" s="160"/>
      <c r="G335" s="160"/>
      <c r="H335" s="160"/>
      <c r="I335" s="160"/>
      <c r="J335" s="160"/>
      <c r="K335" s="160"/>
      <c r="L335" s="160"/>
      <c r="M335" s="159" t="s">
        <v>925</v>
      </c>
      <c r="N335" s="160"/>
      <c r="O335" s="160"/>
      <c r="P335" s="160"/>
      <c r="Q335" s="160"/>
      <c r="R335" s="281" t="s">
        <v>177</v>
      </c>
      <c r="S335" s="156" t="s">
        <v>19</v>
      </c>
      <c r="T335" s="157">
        <v>2018</v>
      </c>
      <c r="U335" s="239">
        <v>0.19420353982300884</v>
      </c>
      <c r="V335" s="225"/>
      <c r="W335" s="288">
        <v>391.90299999999996</v>
      </c>
      <c r="X335" s="289"/>
      <c r="Y335" s="258" t="s">
        <v>541</v>
      </c>
      <c r="Z335" s="240" t="s">
        <v>130</v>
      </c>
      <c r="AA335" s="48">
        <v>391.90299999999996</v>
      </c>
    </row>
    <row r="336" spans="1:27" s="48" customFormat="1" ht="18" customHeight="1">
      <c r="A336" s="159">
        <v>0</v>
      </c>
      <c r="B336" s="160"/>
      <c r="C336" s="160"/>
      <c r="D336" s="161"/>
      <c r="E336" s="265" t="s">
        <v>291</v>
      </c>
      <c r="F336" s="160"/>
      <c r="G336" s="160"/>
      <c r="H336" s="160"/>
      <c r="I336" s="160"/>
      <c r="J336" s="160"/>
      <c r="K336" s="160"/>
      <c r="L336" s="160"/>
      <c r="M336" s="159" t="s">
        <v>930</v>
      </c>
      <c r="N336" s="160"/>
      <c r="O336" s="160"/>
      <c r="P336" s="160"/>
      <c r="Q336" s="160"/>
      <c r="R336" s="281" t="s">
        <v>226</v>
      </c>
      <c r="S336" s="156" t="s">
        <v>19</v>
      </c>
      <c r="T336" s="157">
        <v>7000</v>
      </c>
      <c r="U336" s="239">
        <v>1.7194690265486728E-2</v>
      </c>
      <c r="V336" s="225"/>
      <c r="W336" s="288">
        <v>120.363</v>
      </c>
      <c r="X336" s="289"/>
      <c r="Y336" s="258" t="s">
        <v>538</v>
      </c>
      <c r="Z336" s="240" t="s">
        <v>125</v>
      </c>
      <c r="AA336" s="48">
        <v>120.363</v>
      </c>
    </row>
    <row r="337" spans="1:27" s="48" customFormat="1" ht="18" customHeight="1">
      <c r="A337" s="159">
        <v>0</v>
      </c>
      <c r="B337" s="160"/>
      <c r="C337" s="160"/>
      <c r="D337" s="161"/>
      <c r="E337" s="265" t="s">
        <v>293</v>
      </c>
      <c r="F337" s="160"/>
      <c r="G337" s="160"/>
      <c r="H337" s="160"/>
      <c r="I337" s="160"/>
      <c r="J337" s="160"/>
      <c r="K337" s="160"/>
      <c r="L337" s="160"/>
      <c r="M337" s="159" t="s">
        <v>930</v>
      </c>
      <c r="N337" s="160"/>
      <c r="O337" s="160"/>
      <c r="P337" s="160"/>
      <c r="Q337" s="160"/>
      <c r="R337" s="281" t="s">
        <v>228</v>
      </c>
      <c r="S337" s="156" t="s">
        <v>19</v>
      </c>
      <c r="T337" s="157">
        <v>440000</v>
      </c>
      <c r="U337" s="239">
        <v>8.8318584070796458E-3</v>
      </c>
      <c r="V337" s="225"/>
      <c r="W337" s="290">
        <v>3886.0176991150443</v>
      </c>
      <c r="X337" s="289"/>
      <c r="Y337" s="258" t="s">
        <v>538</v>
      </c>
      <c r="Z337" s="240" t="s">
        <v>125</v>
      </c>
      <c r="AA337" s="48">
        <v>3886.0176991150443</v>
      </c>
    </row>
    <row r="338" spans="1:27" s="48" customFormat="1" ht="18" customHeight="1">
      <c r="A338" s="159">
        <v>0</v>
      </c>
      <c r="B338" s="160"/>
      <c r="C338" s="160"/>
      <c r="D338" s="161"/>
      <c r="E338" s="265" t="s">
        <v>353</v>
      </c>
      <c r="F338" s="160"/>
      <c r="G338" s="160"/>
      <c r="H338" s="160"/>
      <c r="I338" s="160"/>
      <c r="J338" s="160"/>
      <c r="K338" s="160"/>
      <c r="L338" s="160"/>
      <c r="M338" s="159" t="s">
        <v>930</v>
      </c>
      <c r="N338" s="160"/>
      <c r="O338" s="160"/>
      <c r="P338" s="160"/>
      <c r="Q338" s="160"/>
      <c r="R338" s="281" t="s">
        <v>349</v>
      </c>
      <c r="S338" s="156" t="s">
        <v>19</v>
      </c>
      <c r="T338" s="157">
        <v>5000</v>
      </c>
      <c r="U338" s="239">
        <v>1.347787610619469E-2</v>
      </c>
      <c r="V338" s="225"/>
      <c r="W338" s="288">
        <v>67.39</v>
      </c>
      <c r="X338" s="289"/>
      <c r="Y338" s="258" t="s">
        <v>538</v>
      </c>
      <c r="Z338" s="240" t="s">
        <v>125</v>
      </c>
      <c r="AA338" s="48">
        <v>67.39</v>
      </c>
    </row>
    <row r="339" spans="1:27" s="48" customFormat="1" ht="18" customHeight="1">
      <c r="A339" s="159">
        <v>0</v>
      </c>
      <c r="B339" s="160"/>
      <c r="C339" s="160"/>
      <c r="D339" s="161"/>
      <c r="E339" s="265" t="s">
        <v>292</v>
      </c>
      <c r="F339" s="160"/>
      <c r="G339" s="160"/>
      <c r="H339" s="160"/>
      <c r="I339" s="160"/>
      <c r="J339" s="160"/>
      <c r="K339" s="160"/>
      <c r="L339" s="160"/>
      <c r="M339" s="159" t="s">
        <v>930</v>
      </c>
      <c r="N339" s="160"/>
      <c r="O339" s="160"/>
      <c r="P339" s="160"/>
      <c r="Q339" s="160"/>
      <c r="R339" s="281" t="s">
        <v>227</v>
      </c>
      <c r="S339" s="156" t="s">
        <v>19</v>
      </c>
      <c r="T339" s="157">
        <v>39000</v>
      </c>
      <c r="U339" s="239">
        <v>1.4867256637168142E-2</v>
      </c>
      <c r="V339" s="225"/>
      <c r="W339" s="288">
        <v>579.82399999999996</v>
      </c>
      <c r="X339" s="289"/>
      <c r="Y339" s="258" t="s">
        <v>538</v>
      </c>
      <c r="Z339" s="240" t="s">
        <v>125</v>
      </c>
      <c r="AA339" s="48">
        <v>579.82399999999996</v>
      </c>
    </row>
    <row r="340" spans="1:27" s="48" customFormat="1" ht="18" customHeight="1">
      <c r="A340" s="159">
        <v>0</v>
      </c>
      <c r="B340" s="160"/>
      <c r="C340" s="160"/>
      <c r="D340" s="161"/>
      <c r="E340" s="265" t="s">
        <v>295</v>
      </c>
      <c r="F340" s="160"/>
      <c r="G340" s="160"/>
      <c r="H340" s="160"/>
      <c r="I340" s="160"/>
      <c r="J340" s="160"/>
      <c r="K340" s="160"/>
      <c r="L340" s="160"/>
      <c r="M340" s="159" t="s">
        <v>930</v>
      </c>
      <c r="N340" s="160"/>
      <c r="O340" s="160"/>
      <c r="P340" s="160"/>
      <c r="Q340" s="160"/>
      <c r="R340" s="281" t="s">
        <v>230</v>
      </c>
      <c r="S340" s="156" t="s">
        <v>19</v>
      </c>
      <c r="T340" s="157">
        <v>8000</v>
      </c>
      <c r="U340" s="239">
        <v>1.4867256637168142E-2</v>
      </c>
      <c r="V340" s="225"/>
      <c r="W340" s="288">
        <v>118.93900000000001</v>
      </c>
      <c r="X340" s="289"/>
      <c r="Y340" s="258" t="s">
        <v>538</v>
      </c>
      <c r="Z340" s="240" t="s">
        <v>125</v>
      </c>
      <c r="AA340" s="48">
        <v>118.93900000000001</v>
      </c>
    </row>
    <row r="341" spans="1:27" s="48" customFormat="1" ht="18" customHeight="1">
      <c r="A341" s="159">
        <v>0</v>
      </c>
      <c r="B341" s="160"/>
      <c r="C341" s="160"/>
      <c r="D341" s="161"/>
      <c r="E341" s="265" t="s">
        <v>296</v>
      </c>
      <c r="F341" s="160"/>
      <c r="G341" s="160"/>
      <c r="H341" s="160"/>
      <c r="I341" s="160"/>
      <c r="J341" s="160"/>
      <c r="K341" s="160"/>
      <c r="L341" s="160"/>
      <c r="M341" s="159" t="s">
        <v>930</v>
      </c>
      <c r="N341" s="160"/>
      <c r="O341" s="160"/>
      <c r="P341" s="160"/>
      <c r="Q341" s="160"/>
      <c r="R341" s="281" t="s">
        <v>231</v>
      </c>
      <c r="S341" s="156" t="s">
        <v>19</v>
      </c>
      <c r="T341" s="157">
        <v>7000</v>
      </c>
      <c r="U341" s="239">
        <v>1.0690265486725664E-2</v>
      </c>
      <c r="V341" s="225"/>
      <c r="W341" s="288">
        <v>74.832000000000008</v>
      </c>
      <c r="X341" s="289"/>
      <c r="Y341" s="258" t="s">
        <v>538</v>
      </c>
      <c r="Z341" s="240" t="s">
        <v>125</v>
      </c>
      <c r="AA341" s="48">
        <v>74.832000000000008</v>
      </c>
    </row>
    <row r="342" spans="1:27" s="48" customFormat="1" ht="18" customHeight="1">
      <c r="A342" s="159">
        <v>0</v>
      </c>
      <c r="B342" s="160"/>
      <c r="C342" s="160"/>
      <c r="D342" s="161"/>
      <c r="E342" s="265" t="s">
        <v>294</v>
      </c>
      <c r="F342" s="160"/>
      <c r="G342" s="160"/>
      <c r="H342" s="160"/>
      <c r="I342" s="160"/>
      <c r="J342" s="160"/>
      <c r="K342" s="160"/>
      <c r="L342" s="160"/>
      <c r="M342" s="159" t="s">
        <v>930</v>
      </c>
      <c r="N342" s="160"/>
      <c r="O342" s="160"/>
      <c r="P342" s="160"/>
      <c r="Q342" s="160"/>
      <c r="R342" s="281" t="s">
        <v>229</v>
      </c>
      <c r="S342" s="156" t="s">
        <v>19</v>
      </c>
      <c r="T342" s="157">
        <v>42000</v>
      </c>
      <c r="U342" s="239">
        <v>8.8318584070796458E-3</v>
      </c>
      <c r="V342" s="225"/>
      <c r="W342" s="288">
        <v>370.93899999999996</v>
      </c>
      <c r="X342" s="289"/>
      <c r="Y342" s="258" t="s">
        <v>538</v>
      </c>
      <c r="Z342" s="240" t="s">
        <v>125</v>
      </c>
      <c r="AA342" s="48">
        <v>370.93899999999996</v>
      </c>
    </row>
    <row r="343" spans="1:27" s="48" customFormat="1" ht="18" customHeight="1">
      <c r="A343" s="159">
        <v>0</v>
      </c>
      <c r="B343" s="160"/>
      <c r="C343" s="160"/>
      <c r="D343" s="161"/>
      <c r="E343" s="265" t="s">
        <v>912</v>
      </c>
      <c r="F343" s="160"/>
      <c r="G343" s="160"/>
      <c r="H343" s="160"/>
      <c r="I343" s="160"/>
      <c r="J343" s="160"/>
      <c r="K343" s="160"/>
      <c r="L343" s="160"/>
      <c r="M343" s="159" t="s">
        <v>930</v>
      </c>
      <c r="N343" s="160"/>
      <c r="O343" s="160"/>
      <c r="P343" s="160"/>
      <c r="Q343" s="160"/>
      <c r="R343" s="281" t="s">
        <v>907</v>
      </c>
      <c r="S343" s="156" t="s">
        <v>19</v>
      </c>
      <c r="T343" s="157">
        <v>67000</v>
      </c>
      <c r="U343" s="239">
        <v>3.4380530973451326E-2</v>
      </c>
      <c r="V343" s="225"/>
      <c r="W343" s="288">
        <v>2303.4960000000001</v>
      </c>
      <c r="X343" s="289"/>
      <c r="Y343" s="258" t="s">
        <v>538</v>
      </c>
      <c r="Z343" s="240" t="s">
        <v>125</v>
      </c>
      <c r="AA343" s="48">
        <v>2303.4960000000001</v>
      </c>
    </row>
    <row r="344" spans="1:27" s="48" customFormat="1" ht="18" customHeight="1">
      <c r="A344" s="159">
        <v>0</v>
      </c>
      <c r="B344" s="160"/>
      <c r="C344" s="160"/>
      <c r="D344" s="161"/>
      <c r="E344" s="265" t="s">
        <v>302</v>
      </c>
      <c r="F344" s="160"/>
      <c r="G344" s="160"/>
      <c r="H344" s="160"/>
      <c r="I344" s="160"/>
      <c r="J344" s="160"/>
      <c r="K344" s="160"/>
      <c r="L344" s="160"/>
      <c r="M344" s="159" t="s">
        <v>930</v>
      </c>
      <c r="N344" s="160"/>
      <c r="O344" s="160"/>
      <c r="P344" s="160"/>
      <c r="Q344" s="160"/>
      <c r="R344" s="281" t="s">
        <v>237</v>
      </c>
      <c r="S344" s="156" t="s">
        <v>19</v>
      </c>
      <c r="T344" s="157">
        <v>21000</v>
      </c>
      <c r="U344" s="239">
        <v>8.8318584070796458E-3</v>
      </c>
      <c r="V344" s="225"/>
      <c r="W344" s="288">
        <v>185.47</v>
      </c>
      <c r="X344" s="289"/>
      <c r="Y344" s="258" t="s">
        <v>538</v>
      </c>
      <c r="Z344" s="240" t="s">
        <v>125</v>
      </c>
      <c r="AA344" s="48">
        <v>185.47</v>
      </c>
    </row>
    <row r="345" spans="1:27" s="48" customFormat="1" ht="18" customHeight="1">
      <c r="A345" s="159">
        <v>0</v>
      </c>
      <c r="B345" s="160"/>
      <c r="C345" s="160"/>
      <c r="D345" s="161"/>
      <c r="E345" s="265" t="s">
        <v>491</v>
      </c>
      <c r="F345" s="160"/>
      <c r="G345" s="160"/>
      <c r="H345" s="160"/>
      <c r="I345" s="160"/>
      <c r="J345" s="160"/>
      <c r="K345" s="160"/>
      <c r="L345" s="160"/>
      <c r="M345" s="159" t="s">
        <v>930</v>
      </c>
      <c r="N345" s="160"/>
      <c r="O345" s="160"/>
      <c r="P345" s="160"/>
      <c r="Q345" s="160"/>
      <c r="R345" s="281" t="s">
        <v>414</v>
      </c>
      <c r="S345" s="156" t="s">
        <v>19</v>
      </c>
      <c r="T345" s="157">
        <v>7000</v>
      </c>
      <c r="U345" s="239">
        <v>1.4867256637168142E-2</v>
      </c>
      <c r="V345" s="225"/>
      <c r="W345" s="288">
        <v>104.071</v>
      </c>
      <c r="X345" s="289"/>
      <c r="Y345" s="258" t="s">
        <v>538</v>
      </c>
      <c r="Z345" s="240" t="s">
        <v>511</v>
      </c>
      <c r="AA345" s="48">
        <v>104.071</v>
      </c>
    </row>
    <row r="346" spans="1:27" s="48" customFormat="1" ht="18" customHeight="1">
      <c r="A346" s="159">
        <v>0</v>
      </c>
      <c r="B346" s="160"/>
      <c r="C346" s="160"/>
      <c r="D346" s="161"/>
      <c r="E346" s="265" t="s">
        <v>877</v>
      </c>
      <c r="F346" s="160"/>
      <c r="G346" s="160"/>
      <c r="H346" s="160"/>
      <c r="I346" s="160"/>
      <c r="J346" s="160"/>
      <c r="K346" s="160"/>
      <c r="L346" s="160"/>
      <c r="M346" s="159" t="s">
        <v>930</v>
      </c>
      <c r="N346" s="160"/>
      <c r="O346" s="160"/>
      <c r="P346" s="160"/>
      <c r="Q346" s="160"/>
      <c r="R346" s="281" t="s">
        <v>561</v>
      </c>
      <c r="S346" s="156" t="s">
        <v>19</v>
      </c>
      <c r="T346" s="157">
        <v>4000</v>
      </c>
      <c r="U346" s="239">
        <v>1.9982300884955749E-2</v>
      </c>
      <c r="V346" s="225"/>
      <c r="W346" s="288">
        <v>79.930000000000007</v>
      </c>
      <c r="X346" s="289"/>
      <c r="Y346" s="258" t="s">
        <v>538</v>
      </c>
      <c r="Z346" s="240" t="s">
        <v>125</v>
      </c>
      <c r="AA346" s="48">
        <v>79.930000000000007</v>
      </c>
    </row>
    <row r="347" spans="1:27" s="48" customFormat="1" ht="18" customHeight="1">
      <c r="A347" s="159">
        <v>0</v>
      </c>
      <c r="B347" s="160"/>
      <c r="C347" s="160"/>
      <c r="D347" s="161"/>
      <c r="E347" s="265" t="s">
        <v>297</v>
      </c>
      <c r="F347" s="160"/>
      <c r="G347" s="160"/>
      <c r="H347" s="160"/>
      <c r="I347" s="160"/>
      <c r="J347" s="160"/>
      <c r="K347" s="160"/>
      <c r="L347" s="160"/>
      <c r="M347" s="159" t="s">
        <v>930</v>
      </c>
      <c r="N347" s="160"/>
      <c r="O347" s="160"/>
      <c r="P347" s="160"/>
      <c r="Q347" s="160"/>
      <c r="R347" s="281" t="s">
        <v>232</v>
      </c>
      <c r="S347" s="156" t="s">
        <v>19</v>
      </c>
      <c r="T347" s="157">
        <v>40000</v>
      </c>
      <c r="U347" s="239">
        <v>1.1247787610619469E-2</v>
      </c>
      <c r="V347" s="225"/>
      <c r="W347" s="288">
        <v>449.91199999999998</v>
      </c>
      <c r="X347" s="289"/>
      <c r="Y347" s="258" t="s">
        <v>538</v>
      </c>
      <c r="Z347" s="240" t="s">
        <v>126</v>
      </c>
      <c r="AA347" s="48">
        <v>449.91199999999998</v>
      </c>
    </row>
    <row r="348" spans="1:27" s="48" customFormat="1" ht="18" customHeight="1">
      <c r="A348" s="159">
        <v>0</v>
      </c>
      <c r="B348" s="160"/>
      <c r="C348" s="160"/>
      <c r="D348" s="161"/>
      <c r="E348" s="265" t="s">
        <v>490</v>
      </c>
      <c r="F348" s="160"/>
      <c r="G348" s="160"/>
      <c r="H348" s="160"/>
      <c r="I348" s="160"/>
      <c r="J348" s="160"/>
      <c r="K348" s="160"/>
      <c r="L348" s="160"/>
      <c r="M348" s="159" t="s">
        <v>930</v>
      </c>
      <c r="N348" s="160"/>
      <c r="O348" s="160"/>
      <c r="P348" s="160"/>
      <c r="Q348" s="160"/>
      <c r="R348" s="281" t="s">
        <v>413</v>
      </c>
      <c r="S348" s="156" t="s">
        <v>19</v>
      </c>
      <c r="T348" s="157">
        <v>26000</v>
      </c>
      <c r="U348" s="239">
        <v>1.4964601769911505E-2</v>
      </c>
      <c r="V348" s="225"/>
      <c r="W348" s="288">
        <v>389.08</v>
      </c>
      <c r="X348" s="289"/>
      <c r="Y348" s="258" t="s">
        <v>538</v>
      </c>
      <c r="Z348" s="240" t="s">
        <v>511</v>
      </c>
      <c r="AA348" s="48">
        <v>389.08</v>
      </c>
    </row>
    <row r="349" spans="1:27" s="48" customFormat="1" ht="18" customHeight="1">
      <c r="A349" s="159">
        <v>0</v>
      </c>
      <c r="B349" s="160"/>
      <c r="C349" s="160"/>
      <c r="D349" s="161"/>
      <c r="E349" s="265" t="s">
        <v>298</v>
      </c>
      <c r="F349" s="160"/>
      <c r="G349" s="160"/>
      <c r="H349" s="160"/>
      <c r="I349" s="160"/>
      <c r="J349" s="160"/>
      <c r="K349" s="160"/>
      <c r="L349" s="160"/>
      <c r="M349" s="159" t="s">
        <v>930</v>
      </c>
      <c r="N349" s="160"/>
      <c r="O349" s="160"/>
      <c r="P349" s="160"/>
      <c r="Q349" s="160"/>
      <c r="R349" s="281" t="s">
        <v>233</v>
      </c>
      <c r="S349" s="156" t="s">
        <v>19</v>
      </c>
      <c r="T349" s="157">
        <v>5000</v>
      </c>
      <c r="U349" s="239">
        <v>2.1371681415929201E-2</v>
      </c>
      <c r="V349" s="225"/>
      <c r="W349" s="288">
        <v>106.85900000000001</v>
      </c>
      <c r="X349" s="289"/>
      <c r="Y349" s="258" t="s">
        <v>538</v>
      </c>
      <c r="Z349" s="240" t="s">
        <v>125</v>
      </c>
      <c r="AA349" s="48">
        <v>106.85900000000001</v>
      </c>
    </row>
    <row r="350" spans="1:27" s="48" customFormat="1" ht="18" customHeight="1">
      <c r="A350" s="159">
        <v>0</v>
      </c>
      <c r="B350" s="160"/>
      <c r="C350" s="160"/>
      <c r="D350" s="161"/>
      <c r="E350" s="265" t="s">
        <v>878</v>
      </c>
      <c r="F350" s="160"/>
      <c r="G350" s="160"/>
      <c r="H350" s="160"/>
      <c r="I350" s="160"/>
      <c r="J350" s="160"/>
      <c r="K350" s="160"/>
      <c r="L350" s="160"/>
      <c r="M350" s="159" t="s">
        <v>930</v>
      </c>
      <c r="N350" s="160"/>
      <c r="O350" s="160"/>
      <c r="P350" s="160"/>
      <c r="Q350" s="160"/>
      <c r="R350" s="281" t="s">
        <v>571</v>
      </c>
      <c r="S350" s="156" t="s">
        <v>19</v>
      </c>
      <c r="T350" s="157">
        <v>2000</v>
      </c>
      <c r="U350" s="239">
        <v>1.7433628318584068E-2</v>
      </c>
      <c r="V350" s="225"/>
      <c r="W350" s="288">
        <v>34.867999999999995</v>
      </c>
      <c r="X350" s="289"/>
      <c r="Y350" s="258" t="s">
        <v>538</v>
      </c>
      <c r="Z350" s="240" t="s">
        <v>125</v>
      </c>
      <c r="AA350" s="48">
        <v>34.867999999999995</v>
      </c>
    </row>
    <row r="351" spans="1:27" s="48" customFormat="1" ht="18" customHeight="1">
      <c r="A351" s="159">
        <v>0</v>
      </c>
      <c r="B351" s="160"/>
      <c r="C351" s="160"/>
      <c r="D351" s="161"/>
      <c r="E351" s="265" t="s">
        <v>879</v>
      </c>
      <c r="F351" s="160"/>
      <c r="G351" s="160"/>
      <c r="H351" s="160"/>
      <c r="I351" s="160"/>
      <c r="J351" s="160"/>
      <c r="K351" s="160"/>
      <c r="L351" s="160"/>
      <c r="M351" s="159" t="s">
        <v>930</v>
      </c>
      <c r="N351" s="160"/>
      <c r="O351" s="160"/>
      <c r="P351" s="160"/>
      <c r="Q351" s="160"/>
      <c r="R351" s="281" t="s">
        <v>572</v>
      </c>
      <c r="S351" s="156" t="s">
        <v>19</v>
      </c>
      <c r="T351" s="157">
        <v>2000</v>
      </c>
      <c r="U351" s="239">
        <v>1.6955752212389381E-2</v>
      </c>
      <c r="V351" s="225"/>
      <c r="W351" s="288">
        <v>33.911999999999999</v>
      </c>
      <c r="X351" s="289"/>
      <c r="Y351" s="258" t="s">
        <v>538</v>
      </c>
      <c r="Z351" s="240" t="s">
        <v>125</v>
      </c>
      <c r="AA351" s="48">
        <v>33.911999999999999</v>
      </c>
    </row>
    <row r="352" spans="1:27" s="48" customFormat="1" ht="18" customHeight="1">
      <c r="A352" s="159">
        <v>0</v>
      </c>
      <c r="B352" s="160"/>
      <c r="C352" s="160"/>
      <c r="D352" s="161"/>
      <c r="E352" s="265" t="s">
        <v>880</v>
      </c>
      <c r="F352" s="160"/>
      <c r="G352" s="160"/>
      <c r="H352" s="160"/>
      <c r="I352" s="160"/>
      <c r="J352" s="160"/>
      <c r="K352" s="160"/>
      <c r="L352" s="160"/>
      <c r="M352" s="159" t="s">
        <v>930</v>
      </c>
      <c r="N352" s="160"/>
      <c r="O352" s="160"/>
      <c r="P352" s="160"/>
      <c r="Q352" s="160"/>
      <c r="R352" s="281" t="s">
        <v>577</v>
      </c>
      <c r="S352" s="156" t="s">
        <v>19</v>
      </c>
      <c r="T352" s="157">
        <v>8000</v>
      </c>
      <c r="U352" s="239">
        <v>2.8805309734513271E-2</v>
      </c>
      <c r="V352" s="225"/>
      <c r="W352" s="288">
        <v>230.44300000000001</v>
      </c>
      <c r="X352" s="289"/>
      <c r="Y352" s="258" t="s">
        <v>538</v>
      </c>
      <c r="Z352" s="240" t="s">
        <v>125</v>
      </c>
      <c r="AA352" s="48">
        <v>230.44300000000001</v>
      </c>
    </row>
    <row r="353" spans="1:27" s="48" customFormat="1" ht="18" customHeight="1">
      <c r="A353" s="159">
        <v>0</v>
      </c>
      <c r="B353" s="160"/>
      <c r="C353" s="160"/>
      <c r="D353" s="161"/>
      <c r="E353" s="265" t="s">
        <v>299</v>
      </c>
      <c r="F353" s="160"/>
      <c r="G353" s="160"/>
      <c r="H353" s="160"/>
      <c r="I353" s="160"/>
      <c r="J353" s="160"/>
      <c r="K353" s="160"/>
      <c r="L353" s="160"/>
      <c r="M353" s="159" t="s">
        <v>930</v>
      </c>
      <c r="N353" s="160"/>
      <c r="O353" s="160"/>
      <c r="P353" s="160"/>
      <c r="Q353" s="160"/>
      <c r="R353" s="281" t="s">
        <v>234</v>
      </c>
      <c r="S353" s="156" t="s">
        <v>19</v>
      </c>
      <c r="T353" s="157">
        <v>1000</v>
      </c>
      <c r="U353" s="239">
        <v>3.2061946902654861E-2</v>
      </c>
      <c r="V353" s="225"/>
      <c r="W353" s="288">
        <v>32.061999999999998</v>
      </c>
      <c r="X353" s="289"/>
      <c r="Y353" s="258" t="s">
        <v>538</v>
      </c>
      <c r="Z353" s="240" t="s">
        <v>125</v>
      </c>
      <c r="AA353" s="48">
        <v>32.061999999999998</v>
      </c>
    </row>
    <row r="354" spans="1:27" s="48" customFormat="1" ht="18" customHeight="1">
      <c r="A354" s="159">
        <v>0</v>
      </c>
      <c r="B354" s="160"/>
      <c r="C354" s="160"/>
      <c r="D354" s="161"/>
      <c r="E354" s="265" t="s">
        <v>300</v>
      </c>
      <c r="F354" s="160"/>
      <c r="G354" s="160"/>
      <c r="H354" s="160"/>
      <c r="I354" s="160"/>
      <c r="J354" s="160"/>
      <c r="K354" s="160"/>
      <c r="L354" s="160"/>
      <c r="M354" s="159" t="s">
        <v>930</v>
      </c>
      <c r="N354" s="160"/>
      <c r="O354" s="160"/>
      <c r="P354" s="160"/>
      <c r="Q354" s="160"/>
      <c r="R354" s="281" t="s">
        <v>235</v>
      </c>
      <c r="S354" s="156" t="s">
        <v>19</v>
      </c>
      <c r="T354" s="157">
        <v>18000</v>
      </c>
      <c r="U354" s="239">
        <v>8.8318584070796458E-3</v>
      </c>
      <c r="V354" s="225"/>
      <c r="W354" s="288">
        <v>158.97400000000002</v>
      </c>
      <c r="X354" s="289"/>
      <c r="Y354" s="258" t="s">
        <v>538</v>
      </c>
      <c r="Z354" s="240" t="s">
        <v>125</v>
      </c>
      <c r="AA354" s="48">
        <v>158.97400000000002</v>
      </c>
    </row>
    <row r="355" spans="1:27" s="48" customFormat="1" ht="18" customHeight="1">
      <c r="A355" s="159">
        <v>0</v>
      </c>
      <c r="B355" s="160"/>
      <c r="C355" s="160"/>
      <c r="D355" s="161"/>
      <c r="E355" s="265" t="s">
        <v>341</v>
      </c>
      <c r="F355" s="160"/>
      <c r="G355" s="160"/>
      <c r="H355" s="160"/>
      <c r="I355" s="160"/>
      <c r="J355" s="160"/>
      <c r="K355" s="160"/>
      <c r="L355" s="160"/>
      <c r="M355" s="159" t="s">
        <v>930</v>
      </c>
      <c r="N355" s="160"/>
      <c r="O355" s="160"/>
      <c r="P355" s="160"/>
      <c r="Q355" s="160"/>
      <c r="R355" s="281" t="s">
        <v>340</v>
      </c>
      <c r="S355" s="156" t="s">
        <v>19</v>
      </c>
      <c r="T355" s="157">
        <v>3749</v>
      </c>
      <c r="U355" s="239">
        <v>1.3008849557522123E-2</v>
      </c>
      <c r="V355" s="225"/>
      <c r="W355" s="288">
        <v>48.771000000000001</v>
      </c>
      <c r="X355" s="289"/>
      <c r="Y355" s="258" t="s">
        <v>540</v>
      </c>
      <c r="Z355" s="240" t="s">
        <v>126</v>
      </c>
      <c r="AA355" s="48">
        <v>48.771000000000001</v>
      </c>
    </row>
    <row r="356" spans="1:27" s="48" customFormat="1" ht="18" customHeight="1">
      <c r="A356" s="159">
        <v>0</v>
      </c>
      <c r="B356" s="160"/>
      <c r="C356" s="160"/>
      <c r="D356" s="161"/>
      <c r="E356" s="265" t="s">
        <v>301</v>
      </c>
      <c r="F356" s="160"/>
      <c r="G356" s="160"/>
      <c r="H356" s="160"/>
      <c r="I356" s="160"/>
      <c r="J356" s="160"/>
      <c r="K356" s="160"/>
      <c r="L356" s="160"/>
      <c r="M356" s="159" t="s">
        <v>930</v>
      </c>
      <c r="N356" s="160"/>
      <c r="O356" s="160"/>
      <c r="P356" s="160"/>
      <c r="Q356" s="160"/>
      <c r="R356" s="281" t="s">
        <v>236</v>
      </c>
      <c r="S356" s="156" t="s">
        <v>19</v>
      </c>
      <c r="T356" s="157">
        <v>2000</v>
      </c>
      <c r="U356" s="239">
        <v>1.5796460176991153E-2</v>
      </c>
      <c r="V356" s="225"/>
      <c r="W356" s="288">
        <v>31.593</v>
      </c>
      <c r="X356" s="289"/>
      <c r="Y356" s="258" t="s">
        <v>538</v>
      </c>
      <c r="Z356" s="240" t="s">
        <v>125</v>
      </c>
      <c r="AA356" s="48">
        <v>31.593</v>
      </c>
    </row>
    <row r="357" spans="1:27" s="48" customFormat="1" ht="18" customHeight="1">
      <c r="A357" s="159">
        <v>0</v>
      </c>
      <c r="B357" s="160"/>
      <c r="C357" s="160"/>
      <c r="D357" s="161"/>
      <c r="E357" s="265" t="s">
        <v>881</v>
      </c>
      <c r="F357" s="160"/>
      <c r="G357" s="160"/>
      <c r="H357" s="160"/>
      <c r="I357" s="160"/>
      <c r="J357" s="160"/>
      <c r="K357" s="160"/>
      <c r="L357" s="160"/>
      <c r="M357" s="159" t="s">
        <v>930</v>
      </c>
      <c r="N357" s="160"/>
      <c r="O357" s="160"/>
      <c r="P357" s="160"/>
      <c r="Q357" s="160"/>
      <c r="R357" s="281" t="s">
        <v>553</v>
      </c>
      <c r="S357" s="156" t="s">
        <v>19</v>
      </c>
      <c r="T357" s="157">
        <v>4035</v>
      </c>
      <c r="U357" s="239">
        <v>2.5088495575221241E-2</v>
      </c>
      <c r="V357" s="225"/>
      <c r="W357" s="288">
        <v>101.233</v>
      </c>
      <c r="X357" s="289"/>
      <c r="Y357" s="258" t="s">
        <v>538</v>
      </c>
      <c r="Z357" s="240" t="s">
        <v>126</v>
      </c>
      <c r="AA357" s="48">
        <v>101.233</v>
      </c>
    </row>
    <row r="358" spans="1:27" s="48" customFormat="1" ht="18" customHeight="1">
      <c r="A358" s="159">
        <v>0</v>
      </c>
      <c r="B358" s="160"/>
      <c r="C358" s="160"/>
      <c r="D358" s="161"/>
      <c r="E358" s="265" t="s">
        <v>305</v>
      </c>
      <c r="F358" s="160"/>
      <c r="G358" s="160"/>
      <c r="H358" s="160"/>
      <c r="I358" s="160"/>
      <c r="J358" s="160"/>
      <c r="K358" s="160"/>
      <c r="L358" s="160"/>
      <c r="M358" s="159" t="s">
        <v>930</v>
      </c>
      <c r="N358" s="160"/>
      <c r="O358" s="160"/>
      <c r="P358" s="160"/>
      <c r="Q358" s="160"/>
      <c r="R358" s="281" t="s">
        <v>240</v>
      </c>
      <c r="S358" s="156" t="s">
        <v>19</v>
      </c>
      <c r="T358" s="157">
        <v>33978</v>
      </c>
      <c r="U358" s="239">
        <v>2.4159292035398232E-2</v>
      </c>
      <c r="V358" s="225"/>
      <c r="W358" s="288">
        <v>820.88499999999999</v>
      </c>
      <c r="X358" s="289"/>
      <c r="Y358" s="258" t="s">
        <v>549</v>
      </c>
      <c r="Z358" s="240" t="s">
        <v>126</v>
      </c>
      <c r="AA358" s="48">
        <v>820.88499999999999</v>
      </c>
    </row>
    <row r="359" spans="1:27" s="48" customFormat="1" ht="18" customHeight="1">
      <c r="A359" s="159">
        <v>0</v>
      </c>
      <c r="B359" s="160"/>
      <c r="C359" s="160"/>
      <c r="D359" s="161"/>
      <c r="E359" s="265" t="s">
        <v>306</v>
      </c>
      <c r="F359" s="160"/>
      <c r="G359" s="160"/>
      <c r="H359" s="160"/>
      <c r="I359" s="160"/>
      <c r="J359" s="160"/>
      <c r="K359" s="160"/>
      <c r="L359" s="160"/>
      <c r="M359" s="159" t="s">
        <v>930</v>
      </c>
      <c r="N359" s="160"/>
      <c r="O359" s="160"/>
      <c r="P359" s="160"/>
      <c r="Q359" s="160"/>
      <c r="R359" s="281" t="s">
        <v>241</v>
      </c>
      <c r="S359" s="156" t="s">
        <v>19</v>
      </c>
      <c r="T359" s="157">
        <v>950</v>
      </c>
      <c r="U359" s="239">
        <v>0.12915929203539822</v>
      </c>
      <c r="V359" s="225"/>
      <c r="W359" s="288">
        <v>122.702</v>
      </c>
      <c r="X359" s="289"/>
      <c r="Y359" s="258" t="s">
        <v>540</v>
      </c>
      <c r="Z359" s="240" t="s">
        <v>126</v>
      </c>
      <c r="AA359" s="48">
        <v>122.702</v>
      </c>
    </row>
    <row r="360" spans="1:27" s="48" customFormat="1" ht="18" customHeight="1">
      <c r="A360" s="159">
        <v>0</v>
      </c>
      <c r="B360" s="160"/>
      <c r="C360" s="160"/>
      <c r="D360" s="161"/>
      <c r="E360" s="265" t="s">
        <v>882</v>
      </c>
      <c r="F360" s="160"/>
      <c r="G360" s="160"/>
      <c r="H360" s="160"/>
      <c r="I360" s="160"/>
      <c r="J360" s="160"/>
      <c r="K360" s="160"/>
      <c r="L360" s="160"/>
      <c r="M360" s="159" t="s">
        <v>930</v>
      </c>
      <c r="N360" s="160"/>
      <c r="O360" s="160"/>
      <c r="P360" s="160"/>
      <c r="Q360" s="160"/>
      <c r="R360" s="281" t="s">
        <v>558</v>
      </c>
      <c r="S360" s="156" t="s">
        <v>19</v>
      </c>
      <c r="T360" s="157">
        <v>10000</v>
      </c>
      <c r="U360" s="239">
        <v>1.5336283185840707E-2</v>
      </c>
      <c r="V360" s="225"/>
      <c r="W360" s="288">
        <v>153.363</v>
      </c>
      <c r="X360" s="289"/>
      <c r="Y360" s="258" t="s">
        <v>538</v>
      </c>
      <c r="Z360" s="240" t="s">
        <v>125</v>
      </c>
      <c r="AA360" s="48">
        <v>153.363</v>
      </c>
    </row>
    <row r="361" spans="1:27" s="48" customFormat="1" ht="18" customHeight="1">
      <c r="A361" s="159">
        <v>0</v>
      </c>
      <c r="B361" s="160"/>
      <c r="C361" s="160"/>
      <c r="D361" s="161"/>
      <c r="E361" s="265" t="s">
        <v>883</v>
      </c>
      <c r="F361" s="160"/>
      <c r="G361" s="160"/>
      <c r="H361" s="160"/>
      <c r="I361" s="160"/>
      <c r="J361" s="160"/>
      <c r="K361" s="160"/>
      <c r="L361" s="160"/>
      <c r="M361" s="159" t="s">
        <v>930</v>
      </c>
      <c r="N361" s="160"/>
      <c r="O361" s="160"/>
      <c r="P361" s="160"/>
      <c r="Q361" s="160"/>
      <c r="R361" s="281" t="s">
        <v>559</v>
      </c>
      <c r="S361" s="156" t="s">
        <v>19</v>
      </c>
      <c r="T361" s="157">
        <v>18000</v>
      </c>
      <c r="U361" s="239">
        <v>1.8398230088495574E-2</v>
      </c>
      <c r="V361" s="225"/>
      <c r="W361" s="288">
        <v>331.16899999999998</v>
      </c>
      <c r="X361" s="289"/>
      <c r="Y361" s="258" t="s">
        <v>538</v>
      </c>
      <c r="Z361" s="240" t="s">
        <v>125</v>
      </c>
      <c r="AA361" s="48">
        <v>331.16899999999998</v>
      </c>
    </row>
    <row r="362" spans="1:27" s="48" customFormat="1" ht="18" customHeight="1">
      <c r="A362" s="159">
        <v>0</v>
      </c>
      <c r="B362" s="160"/>
      <c r="C362" s="160"/>
      <c r="D362" s="161"/>
      <c r="E362" s="265" t="s">
        <v>809</v>
      </c>
      <c r="F362" s="160"/>
      <c r="G362" s="160"/>
      <c r="H362" s="160"/>
      <c r="I362" s="160"/>
      <c r="J362" s="160"/>
      <c r="K362" s="160"/>
      <c r="L362" s="160"/>
      <c r="M362" s="159" t="s">
        <v>930</v>
      </c>
      <c r="N362" s="160"/>
      <c r="O362" s="160"/>
      <c r="P362" s="160"/>
      <c r="Q362" s="160"/>
      <c r="R362" s="281" t="s">
        <v>670</v>
      </c>
      <c r="S362" s="156" t="s">
        <v>19</v>
      </c>
      <c r="T362" s="157">
        <v>24211</v>
      </c>
      <c r="U362" s="239">
        <v>2.1371681415929201E-2</v>
      </c>
      <c r="V362" s="225"/>
      <c r="W362" s="288">
        <v>517.42999999999995</v>
      </c>
      <c r="X362" s="289"/>
      <c r="Y362" s="258" t="s">
        <v>538</v>
      </c>
      <c r="Z362" s="240" t="s">
        <v>125</v>
      </c>
      <c r="AA362" s="48">
        <v>517.42999999999995</v>
      </c>
    </row>
    <row r="363" spans="1:27" s="48" customFormat="1" ht="18" customHeight="1">
      <c r="A363" s="159">
        <v>0</v>
      </c>
      <c r="B363" s="160"/>
      <c r="C363" s="160"/>
      <c r="D363" s="161"/>
      <c r="E363" s="265" t="s">
        <v>809</v>
      </c>
      <c r="F363" s="160"/>
      <c r="G363" s="160"/>
      <c r="H363" s="160"/>
      <c r="I363" s="160"/>
      <c r="J363" s="160"/>
      <c r="K363" s="160"/>
      <c r="L363" s="160"/>
      <c r="M363" s="159" t="s">
        <v>927</v>
      </c>
      <c r="N363" s="160"/>
      <c r="O363" s="160"/>
      <c r="P363" s="160"/>
      <c r="Q363" s="160"/>
      <c r="R363" s="281" t="s">
        <v>715</v>
      </c>
      <c r="S363" s="156" t="s">
        <v>19</v>
      </c>
      <c r="T363" s="157">
        <v>2460</v>
      </c>
      <c r="U363" s="239">
        <v>2.1371681415929201E-2</v>
      </c>
      <c r="V363" s="225"/>
      <c r="W363" s="288">
        <v>52.574999999999996</v>
      </c>
      <c r="X363" s="289"/>
      <c r="Y363" s="258" t="s">
        <v>538</v>
      </c>
      <c r="Z363" s="240" t="s">
        <v>125</v>
      </c>
      <c r="AA363" s="48">
        <v>52.574999999999996</v>
      </c>
    </row>
    <row r="364" spans="1:27" s="48" customFormat="1" ht="18" customHeight="1">
      <c r="A364" s="159">
        <v>0</v>
      </c>
      <c r="B364" s="160"/>
      <c r="C364" s="160"/>
      <c r="D364" s="161"/>
      <c r="E364" s="265" t="s">
        <v>884</v>
      </c>
      <c r="F364" s="160"/>
      <c r="G364" s="160"/>
      <c r="H364" s="160"/>
      <c r="I364" s="160"/>
      <c r="J364" s="160"/>
      <c r="K364" s="160"/>
      <c r="L364" s="160"/>
      <c r="M364" s="159" t="s">
        <v>930</v>
      </c>
      <c r="N364" s="160"/>
      <c r="O364" s="160"/>
      <c r="P364" s="160"/>
      <c r="Q364" s="160"/>
      <c r="R364" s="281" t="s">
        <v>725</v>
      </c>
      <c r="S364" s="156" t="s">
        <v>19</v>
      </c>
      <c r="T364" s="157">
        <v>29000</v>
      </c>
      <c r="U364" s="239">
        <v>2.6575221238938053E-2</v>
      </c>
      <c r="V364" s="225"/>
      <c r="W364" s="288">
        <v>770.68200000000002</v>
      </c>
      <c r="X364" s="289"/>
      <c r="Y364" s="258" t="s">
        <v>538</v>
      </c>
      <c r="Z364" s="240" t="s">
        <v>125</v>
      </c>
      <c r="AA364" s="48">
        <v>770.68200000000002</v>
      </c>
    </row>
    <row r="365" spans="1:27" s="48" customFormat="1" ht="18" customHeight="1">
      <c r="A365" s="159">
        <v>0</v>
      </c>
      <c r="B365" s="160"/>
      <c r="C365" s="160"/>
      <c r="D365" s="161"/>
      <c r="E365" s="265" t="s">
        <v>885</v>
      </c>
      <c r="F365" s="160"/>
      <c r="G365" s="160"/>
      <c r="H365" s="160"/>
      <c r="I365" s="160"/>
      <c r="J365" s="160"/>
      <c r="K365" s="160"/>
      <c r="L365" s="160"/>
      <c r="M365" s="159" t="s">
        <v>931</v>
      </c>
      <c r="N365" s="160"/>
      <c r="O365" s="160"/>
      <c r="P365" s="160"/>
      <c r="Q365" s="160"/>
      <c r="R365" s="281" t="s">
        <v>584</v>
      </c>
      <c r="S365" s="156" t="s">
        <v>19</v>
      </c>
      <c r="T365" s="157">
        <v>10000</v>
      </c>
      <c r="U365" s="239">
        <v>1.8123893805309734E-2</v>
      </c>
      <c r="V365" s="225"/>
      <c r="W365" s="288">
        <v>181.239</v>
      </c>
      <c r="X365" s="289"/>
      <c r="Y365" s="258" t="s">
        <v>538</v>
      </c>
      <c r="Z365" s="240" t="s">
        <v>126</v>
      </c>
      <c r="AA365" s="48">
        <v>181.239</v>
      </c>
    </row>
    <row r="366" spans="1:27" s="48" customFormat="1" ht="18" customHeight="1">
      <c r="A366" s="159">
        <v>0</v>
      </c>
      <c r="B366" s="160"/>
      <c r="C366" s="160"/>
      <c r="D366" s="161"/>
      <c r="E366" s="265" t="s">
        <v>884</v>
      </c>
      <c r="F366" s="160"/>
      <c r="G366" s="160"/>
      <c r="H366" s="160"/>
      <c r="I366" s="160"/>
      <c r="J366" s="160"/>
      <c r="K366" s="160"/>
      <c r="L366" s="160"/>
      <c r="M366" s="159" t="s">
        <v>930</v>
      </c>
      <c r="N366" s="160"/>
      <c r="O366" s="160"/>
      <c r="P366" s="160"/>
      <c r="Q366" s="160"/>
      <c r="R366" s="281" t="s">
        <v>725</v>
      </c>
      <c r="S366" s="156" t="s">
        <v>19</v>
      </c>
      <c r="T366" s="157">
        <v>1000</v>
      </c>
      <c r="U366" s="239">
        <v>2.6575221238938053E-2</v>
      </c>
      <c r="V366" s="225"/>
      <c r="W366" s="288">
        <v>26.576000000000001</v>
      </c>
      <c r="X366" s="289"/>
      <c r="Y366" s="258" t="s">
        <v>538</v>
      </c>
      <c r="Z366" s="240" t="s">
        <v>125</v>
      </c>
      <c r="AA366" s="48">
        <v>26.576000000000001</v>
      </c>
    </row>
    <row r="367" spans="1:27" s="48" customFormat="1" ht="18" customHeight="1">
      <c r="A367" s="159">
        <v>0</v>
      </c>
      <c r="B367" s="160"/>
      <c r="C367" s="160"/>
      <c r="D367" s="161"/>
      <c r="E367" s="265" t="s">
        <v>886</v>
      </c>
      <c r="F367" s="160"/>
      <c r="G367" s="160"/>
      <c r="H367" s="160"/>
      <c r="I367" s="160"/>
      <c r="J367" s="160"/>
      <c r="K367" s="160"/>
      <c r="L367" s="160"/>
      <c r="M367" s="159" t="s">
        <v>930</v>
      </c>
      <c r="N367" s="160"/>
      <c r="O367" s="160"/>
      <c r="P367" s="160"/>
      <c r="Q367" s="160"/>
      <c r="R367" s="281" t="s">
        <v>575</v>
      </c>
      <c r="S367" s="156" t="s">
        <v>19</v>
      </c>
      <c r="T367" s="157">
        <v>7000</v>
      </c>
      <c r="U367" s="239">
        <v>2.4530973451327431E-2</v>
      </c>
      <c r="V367" s="225"/>
      <c r="W367" s="288">
        <v>171.71700000000001</v>
      </c>
      <c r="X367" s="289"/>
      <c r="Y367" s="258" t="s">
        <v>538</v>
      </c>
      <c r="Z367" s="240" t="s">
        <v>125</v>
      </c>
      <c r="AA367" s="48">
        <v>171.71700000000001</v>
      </c>
    </row>
    <row r="368" spans="1:27" s="48" customFormat="1" ht="18" customHeight="1">
      <c r="A368" s="159">
        <v>0</v>
      </c>
      <c r="B368" s="160"/>
      <c r="C368" s="160"/>
      <c r="D368" s="161"/>
      <c r="E368" s="265" t="s">
        <v>887</v>
      </c>
      <c r="F368" s="160"/>
      <c r="G368" s="160"/>
      <c r="H368" s="160"/>
      <c r="I368" s="160"/>
      <c r="J368" s="160"/>
      <c r="K368" s="160"/>
      <c r="L368" s="160"/>
      <c r="M368" s="159" t="s">
        <v>930</v>
      </c>
      <c r="N368" s="160"/>
      <c r="O368" s="160"/>
      <c r="P368" s="160"/>
      <c r="Q368" s="160"/>
      <c r="R368" s="281" t="s">
        <v>658</v>
      </c>
      <c r="S368" s="156" t="s">
        <v>19</v>
      </c>
      <c r="T368" s="157">
        <v>1000</v>
      </c>
      <c r="U368" s="239">
        <v>1.7283185840707965E-2</v>
      </c>
      <c r="V368" s="225"/>
      <c r="W368" s="288">
        <v>17.284000000000002</v>
      </c>
      <c r="X368" s="289"/>
      <c r="Y368" s="258" t="s">
        <v>538</v>
      </c>
      <c r="Z368" s="240" t="s">
        <v>524</v>
      </c>
      <c r="AA368" s="48">
        <v>17.284000000000002</v>
      </c>
    </row>
    <row r="369" spans="1:27" s="48" customFormat="1" ht="18" customHeight="1">
      <c r="A369" s="159">
        <v>0</v>
      </c>
      <c r="B369" s="160"/>
      <c r="C369" s="160"/>
      <c r="D369" s="161"/>
      <c r="E369" s="265" t="s">
        <v>888</v>
      </c>
      <c r="F369" s="160"/>
      <c r="G369" s="160"/>
      <c r="H369" s="160"/>
      <c r="I369" s="160"/>
      <c r="J369" s="160"/>
      <c r="K369" s="160"/>
      <c r="L369" s="160"/>
      <c r="M369" s="159" t="s">
        <v>930</v>
      </c>
      <c r="N369" s="160"/>
      <c r="O369" s="160"/>
      <c r="P369" s="160"/>
      <c r="Q369" s="160"/>
      <c r="R369" s="281" t="s">
        <v>668</v>
      </c>
      <c r="S369" s="156" t="s">
        <v>19</v>
      </c>
      <c r="T369" s="157">
        <v>10000</v>
      </c>
      <c r="U369" s="239">
        <v>2.1371681415929201E-2</v>
      </c>
      <c r="V369" s="225"/>
      <c r="W369" s="288">
        <v>213.71700000000001</v>
      </c>
      <c r="X369" s="289"/>
      <c r="Y369" s="258" t="s">
        <v>538</v>
      </c>
      <c r="Z369" s="240" t="s">
        <v>125</v>
      </c>
      <c r="AA369" s="48">
        <v>213.71700000000001</v>
      </c>
    </row>
    <row r="370" spans="1:27" s="48" customFormat="1" ht="18" customHeight="1">
      <c r="A370" s="159">
        <v>0</v>
      </c>
      <c r="B370" s="160"/>
      <c r="C370" s="160"/>
      <c r="D370" s="161"/>
      <c r="E370" s="265" t="s">
        <v>303</v>
      </c>
      <c r="F370" s="160"/>
      <c r="G370" s="160"/>
      <c r="H370" s="160"/>
      <c r="I370" s="160"/>
      <c r="J370" s="160"/>
      <c r="K370" s="160"/>
      <c r="L370" s="160"/>
      <c r="M370" s="159" t="s">
        <v>930</v>
      </c>
      <c r="N370" s="160"/>
      <c r="O370" s="160"/>
      <c r="P370" s="160"/>
      <c r="Q370" s="160"/>
      <c r="R370" s="281" t="s">
        <v>238</v>
      </c>
      <c r="S370" s="156" t="s">
        <v>19</v>
      </c>
      <c r="T370" s="157">
        <v>10000</v>
      </c>
      <c r="U370" s="239">
        <v>2.0442477876106195E-2</v>
      </c>
      <c r="V370" s="225"/>
      <c r="W370" s="288">
        <v>204.42500000000001</v>
      </c>
      <c r="X370" s="289"/>
      <c r="Y370" s="258" t="s">
        <v>538</v>
      </c>
      <c r="Z370" s="240" t="s">
        <v>125</v>
      </c>
      <c r="AA370" s="48">
        <v>204.42500000000001</v>
      </c>
    </row>
    <row r="371" spans="1:27" s="48" customFormat="1" ht="18" customHeight="1">
      <c r="A371" s="159">
        <v>0</v>
      </c>
      <c r="B371" s="160"/>
      <c r="C371" s="160"/>
      <c r="D371" s="161"/>
      <c r="E371" s="265" t="s">
        <v>889</v>
      </c>
      <c r="F371" s="160"/>
      <c r="G371" s="160"/>
      <c r="H371" s="160"/>
      <c r="I371" s="160"/>
      <c r="J371" s="160"/>
      <c r="K371" s="160"/>
      <c r="L371" s="160"/>
      <c r="M371" s="159" t="s">
        <v>930</v>
      </c>
      <c r="N371" s="160"/>
      <c r="O371" s="160"/>
      <c r="P371" s="160"/>
      <c r="Q371" s="160"/>
      <c r="R371" s="281" t="s">
        <v>698</v>
      </c>
      <c r="S371" s="156" t="s">
        <v>19</v>
      </c>
      <c r="T371" s="157">
        <v>5000</v>
      </c>
      <c r="U371" s="239">
        <v>1.9513274336283186E-2</v>
      </c>
      <c r="V371" s="225"/>
      <c r="W371" s="288">
        <v>97.567000000000007</v>
      </c>
      <c r="X371" s="289"/>
      <c r="Y371" s="258" t="s">
        <v>538</v>
      </c>
      <c r="Z371" s="240" t="s">
        <v>125</v>
      </c>
      <c r="AA371" s="48">
        <v>97.567000000000007</v>
      </c>
    </row>
    <row r="372" spans="1:27" s="48" customFormat="1" ht="18" customHeight="1">
      <c r="A372" s="159">
        <v>0</v>
      </c>
      <c r="B372" s="160"/>
      <c r="C372" s="160"/>
      <c r="D372" s="161"/>
      <c r="E372" s="265" t="s">
        <v>890</v>
      </c>
      <c r="F372" s="160"/>
      <c r="G372" s="160"/>
      <c r="H372" s="160"/>
      <c r="I372" s="160"/>
      <c r="J372" s="160"/>
      <c r="K372" s="160"/>
      <c r="L372" s="160"/>
      <c r="M372" s="159" t="s">
        <v>930</v>
      </c>
      <c r="N372" s="160"/>
      <c r="O372" s="160"/>
      <c r="P372" s="160"/>
      <c r="Q372" s="160"/>
      <c r="R372" s="281" t="s">
        <v>699</v>
      </c>
      <c r="S372" s="156" t="s">
        <v>19</v>
      </c>
      <c r="T372" s="157">
        <v>611</v>
      </c>
      <c r="U372" s="239">
        <v>4.1814159292035399E-2</v>
      </c>
      <c r="V372" s="225"/>
      <c r="W372" s="288">
        <v>25.548999999999999</v>
      </c>
      <c r="X372" s="289"/>
      <c r="Y372" s="258" t="s">
        <v>538</v>
      </c>
      <c r="Z372" s="240" t="s">
        <v>125</v>
      </c>
      <c r="AA372" s="48">
        <v>25.548999999999999</v>
      </c>
    </row>
    <row r="373" spans="1:27" s="48" customFormat="1" ht="18" customHeight="1">
      <c r="A373" s="159">
        <v>0</v>
      </c>
      <c r="B373" s="160"/>
      <c r="C373" s="160"/>
      <c r="D373" s="161"/>
      <c r="E373" s="265" t="s">
        <v>354</v>
      </c>
      <c r="F373" s="160"/>
      <c r="G373" s="160"/>
      <c r="H373" s="160"/>
      <c r="I373" s="160"/>
      <c r="J373" s="160"/>
      <c r="K373" s="160"/>
      <c r="L373" s="160"/>
      <c r="M373" s="159" t="s">
        <v>930</v>
      </c>
      <c r="N373" s="160"/>
      <c r="O373" s="160"/>
      <c r="P373" s="160"/>
      <c r="Q373" s="160"/>
      <c r="R373" s="281" t="s">
        <v>350</v>
      </c>
      <c r="S373" s="156" t="s">
        <v>19</v>
      </c>
      <c r="T373" s="157">
        <v>1000</v>
      </c>
      <c r="U373" s="239">
        <v>6.392920353982301E-2</v>
      </c>
      <c r="V373" s="225"/>
      <c r="W373" s="288">
        <v>63.93</v>
      </c>
      <c r="X373" s="289"/>
      <c r="Y373" s="258" t="s">
        <v>542</v>
      </c>
      <c r="Z373" s="240" t="s">
        <v>126</v>
      </c>
      <c r="AA373" s="48">
        <v>63.93</v>
      </c>
    </row>
    <row r="374" spans="1:27" s="48" customFormat="1" ht="18" customHeight="1">
      <c r="A374" s="159">
        <v>0</v>
      </c>
      <c r="B374" s="160"/>
      <c r="C374" s="160"/>
      <c r="D374" s="161"/>
      <c r="E374" s="265" t="s">
        <v>891</v>
      </c>
      <c r="F374" s="160"/>
      <c r="G374" s="160"/>
      <c r="H374" s="160"/>
      <c r="I374" s="160"/>
      <c r="J374" s="160"/>
      <c r="K374" s="160"/>
      <c r="L374" s="160"/>
      <c r="M374" s="159" t="s">
        <v>930</v>
      </c>
      <c r="N374" s="160"/>
      <c r="O374" s="160"/>
      <c r="P374" s="160"/>
      <c r="Q374" s="160"/>
      <c r="R374" s="281" t="s">
        <v>700</v>
      </c>
      <c r="S374" s="156" t="s">
        <v>19</v>
      </c>
      <c r="T374" s="157">
        <v>1223</v>
      </c>
      <c r="U374" s="239">
        <v>0.13938053097345132</v>
      </c>
      <c r="V374" s="225"/>
      <c r="W374" s="288">
        <v>170.46299999999999</v>
      </c>
      <c r="X374" s="289"/>
      <c r="Y374" s="258" t="s">
        <v>538</v>
      </c>
      <c r="Z374" s="240" t="s">
        <v>130</v>
      </c>
      <c r="AA374" s="48">
        <v>170.46299999999999</v>
      </c>
    </row>
    <row r="375" spans="1:27" s="48" customFormat="1" ht="18" customHeight="1">
      <c r="A375" s="159">
        <v>0</v>
      </c>
      <c r="B375" s="160"/>
      <c r="C375" s="160"/>
      <c r="D375" s="161"/>
      <c r="E375" s="265" t="s">
        <v>892</v>
      </c>
      <c r="F375" s="160"/>
      <c r="G375" s="160"/>
      <c r="H375" s="160"/>
      <c r="I375" s="160"/>
      <c r="J375" s="160"/>
      <c r="K375" s="160"/>
      <c r="L375" s="160"/>
      <c r="M375" s="159" t="s">
        <v>931</v>
      </c>
      <c r="N375" s="160"/>
      <c r="O375" s="160"/>
      <c r="P375" s="160"/>
      <c r="Q375" s="160"/>
      <c r="R375" s="281" t="s">
        <v>586</v>
      </c>
      <c r="S375" s="156" t="s">
        <v>19</v>
      </c>
      <c r="T375" s="157">
        <v>10000</v>
      </c>
      <c r="U375" s="239">
        <v>2.3513274336283186E-2</v>
      </c>
      <c r="V375" s="225"/>
      <c r="W375" s="288">
        <v>235.13300000000001</v>
      </c>
      <c r="X375" s="289"/>
      <c r="Y375" s="258" t="s">
        <v>538</v>
      </c>
      <c r="Z375" s="240" t="s">
        <v>125</v>
      </c>
      <c r="AA375" s="48">
        <v>235.13300000000001</v>
      </c>
    </row>
    <row r="376" spans="1:27" s="48" customFormat="1" ht="18" customHeight="1">
      <c r="A376" s="159">
        <v>0</v>
      </c>
      <c r="B376" s="160"/>
      <c r="C376" s="160"/>
      <c r="D376" s="161"/>
      <c r="E376" s="265" t="s">
        <v>54</v>
      </c>
      <c r="F376" s="160"/>
      <c r="G376" s="160"/>
      <c r="H376" s="160"/>
      <c r="I376" s="160"/>
      <c r="J376" s="160"/>
      <c r="K376" s="160"/>
      <c r="L376" s="160"/>
      <c r="M376" s="159" t="s">
        <v>934</v>
      </c>
      <c r="N376" s="160"/>
      <c r="O376" s="160"/>
      <c r="P376" s="160"/>
      <c r="Q376" s="160"/>
      <c r="R376" s="281" t="s">
        <v>654</v>
      </c>
      <c r="S376" s="156" t="s">
        <v>55</v>
      </c>
      <c r="T376" s="157">
        <v>1000</v>
      </c>
      <c r="U376" s="239">
        <v>5.3893805309734512E-2</v>
      </c>
      <c r="V376" s="225"/>
      <c r="W376" s="288">
        <v>53.893999999999998</v>
      </c>
      <c r="X376" s="289"/>
      <c r="Y376" s="258" t="s">
        <v>538</v>
      </c>
      <c r="Z376" s="240" t="s">
        <v>900</v>
      </c>
      <c r="AA376" s="48">
        <v>53.893999999999998</v>
      </c>
    </row>
    <row r="377" spans="1:27" s="48" customFormat="1" ht="18" customHeight="1">
      <c r="A377" s="159">
        <v>0</v>
      </c>
      <c r="B377" s="160"/>
      <c r="C377" s="160"/>
      <c r="D377" s="161"/>
      <c r="E377" s="265" t="s">
        <v>93</v>
      </c>
      <c r="F377" s="160"/>
      <c r="G377" s="160"/>
      <c r="H377" s="160"/>
      <c r="I377" s="160"/>
      <c r="J377" s="160"/>
      <c r="K377" s="160"/>
      <c r="L377" s="160"/>
      <c r="M377" s="159" t="s">
        <v>934</v>
      </c>
      <c r="N377" s="160"/>
      <c r="O377" s="160"/>
      <c r="P377" s="160"/>
      <c r="Q377" s="160"/>
      <c r="R377" s="281" t="s">
        <v>92</v>
      </c>
      <c r="S377" s="156" t="s">
        <v>55</v>
      </c>
      <c r="T377" s="157">
        <v>2000</v>
      </c>
      <c r="U377" s="239">
        <v>0.2415929203539823</v>
      </c>
      <c r="V377" s="225"/>
      <c r="W377" s="288">
        <v>483.18599999999998</v>
      </c>
      <c r="X377" s="289"/>
      <c r="Y377" s="258" t="s">
        <v>538</v>
      </c>
      <c r="Z377" s="240" t="s">
        <v>122</v>
      </c>
      <c r="AA377" s="48">
        <v>483.18599999999998</v>
      </c>
    </row>
    <row r="378" spans="1:27" s="48" customFormat="1" ht="18" customHeight="1">
      <c r="A378" s="159">
        <v>0</v>
      </c>
      <c r="B378" s="160"/>
      <c r="C378" s="160"/>
      <c r="D378" s="161"/>
      <c r="E378" s="265" t="s">
        <v>913</v>
      </c>
      <c r="F378" s="160"/>
      <c r="G378" s="160"/>
      <c r="H378" s="160"/>
      <c r="I378" s="160"/>
      <c r="J378" s="160"/>
      <c r="K378" s="160"/>
      <c r="L378" s="160"/>
      <c r="M378" s="159" t="s">
        <v>940</v>
      </c>
      <c r="N378" s="160"/>
      <c r="O378" s="160"/>
      <c r="P378" s="160"/>
      <c r="Q378" s="160"/>
      <c r="R378" s="281" t="s">
        <v>734</v>
      </c>
      <c r="S378" s="156" t="s">
        <v>19</v>
      </c>
      <c r="T378" s="157">
        <v>250</v>
      </c>
      <c r="U378" s="239">
        <v>4.5586725663716816</v>
      </c>
      <c r="V378" s="225"/>
      <c r="W378" s="288">
        <v>1139.6689999999999</v>
      </c>
      <c r="X378" s="289"/>
      <c r="Y378" s="258" t="s">
        <v>538</v>
      </c>
      <c r="Z378" s="240" t="s">
        <v>716</v>
      </c>
      <c r="AA378" s="48">
        <v>1139.6689999999999</v>
      </c>
    </row>
    <row r="379" spans="1:27" s="48" customFormat="1" ht="18" customHeight="1">
      <c r="A379" s="159">
        <v>0</v>
      </c>
      <c r="B379" s="160"/>
      <c r="C379" s="160"/>
      <c r="D379" s="161"/>
      <c r="E379" s="265" t="s">
        <v>914</v>
      </c>
      <c r="F379" s="160"/>
      <c r="G379" s="160"/>
      <c r="H379" s="160"/>
      <c r="I379" s="160"/>
      <c r="J379" s="160"/>
      <c r="K379" s="160"/>
      <c r="L379" s="160"/>
      <c r="M379" s="159" t="s">
        <v>941</v>
      </c>
      <c r="N379" s="160"/>
      <c r="O379" s="160"/>
      <c r="P379" s="160"/>
      <c r="Q379" s="160"/>
      <c r="R379" s="281" t="s">
        <v>655</v>
      </c>
      <c r="S379" s="156" t="s">
        <v>55</v>
      </c>
      <c r="T379" s="157">
        <v>750</v>
      </c>
      <c r="U379" s="239">
        <v>0.17097345132743361</v>
      </c>
      <c r="V379" s="225"/>
      <c r="W379" s="288">
        <v>128.23099999999999</v>
      </c>
      <c r="X379" s="289"/>
      <c r="Y379" s="258" t="s">
        <v>538</v>
      </c>
      <c r="Z379" s="240" t="s">
        <v>660</v>
      </c>
      <c r="AA379" s="48">
        <v>128.23099999999999</v>
      </c>
    </row>
    <row r="380" spans="1:27" s="48" customFormat="1" ht="18" customHeight="1">
      <c r="A380" s="159">
        <v>0</v>
      </c>
      <c r="B380" s="160"/>
      <c r="C380" s="160"/>
      <c r="D380" s="161"/>
      <c r="E380" s="265" t="s">
        <v>915</v>
      </c>
      <c r="F380" s="160"/>
      <c r="G380" s="160"/>
      <c r="H380" s="160"/>
      <c r="I380" s="160"/>
      <c r="J380" s="160"/>
      <c r="K380" s="160"/>
      <c r="L380" s="160"/>
      <c r="M380" s="159" t="s">
        <v>925</v>
      </c>
      <c r="N380" s="160"/>
      <c r="O380" s="160"/>
      <c r="P380" s="160"/>
      <c r="Q380" s="160"/>
      <c r="R380" s="281" t="s">
        <v>662</v>
      </c>
      <c r="S380" s="156" t="s">
        <v>19</v>
      </c>
      <c r="T380" s="157">
        <v>500</v>
      </c>
      <c r="U380" s="239">
        <v>0.36796460176991153</v>
      </c>
      <c r="V380" s="225"/>
      <c r="W380" s="288">
        <v>183.983</v>
      </c>
      <c r="X380" s="289"/>
      <c r="Y380" s="258" t="s">
        <v>538</v>
      </c>
      <c r="Z380" s="240" t="s">
        <v>660</v>
      </c>
      <c r="AA380" s="48">
        <v>183.983</v>
      </c>
    </row>
    <row r="381" spans="1:27" s="48" customFormat="1" ht="18" customHeight="1">
      <c r="A381" s="159">
        <v>0</v>
      </c>
      <c r="B381" s="160"/>
      <c r="C381" s="160"/>
      <c r="D381" s="161"/>
      <c r="E381" s="265" t="s">
        <v>916</v>
      </c>
      <c r="F381" s="160"/>
      <c r="G381" s="160"/>
      <c r="H381" s="160"/>
      <c r="I381" s="160"/>
      <c r="J381" s="160"/>
      <c r="K381" s="160"/>
      <c r="L381" s="160"/>
      <c r="M381" s="159" t="s">
        <v>932</v>
      </c>
      <c r="N381" s="160"/>
      <c r="O381" s="160"/>
      <c r="P381" s="160"/>
      <c r="Q381" s="160"/>
      <c r="R381" s="281" t="s">
        <v>908</v>
      </c>
      <c r="S381" s="156" t="s">
        <v>55</v>
      </c>
      <c r="T381" s="157">
        <v>200</v>
      </c>
      <c r="U381" s="239">
        <v>6.6017699115044244E-3</v>
      </c>
      <c r="V381" s="225"/>
      <c r="W381" s="288">
        <v>1.321</v>
      </c>
      <c r="X381" s="289"/>
      <c r="Y381" s="258" t="s">
        <v>538</v>
      </c>
      <c r="Z381" s="240" t="s">
        <v>121</v>
      </c>
      <c r="AA381" s="48">
        <v>1.321</v>
      </c>
    </row>
    <row r="382" spans="1:27" s="48" customFormat="1" ht="18" customHeight="1">
      <c r="A382" s="159">
        <v>0</v>
      </c>
      <c r="B382" s="160"/>
      <c r="C382" s="160"/>
      <c r="D382" s="161"/>
      <c r="E382" s="265" t="s">
        <v>498</v>
      </c>
      <c r="F382" s="160"/>
      <c r="G382" s="160"/>
      <c r="H382" s="160"/>
      <c r="I382" s="160"/>
      <c r="J382" s="160"/>
      <c r="K382" s="160"/>
      <c r="L382" s="160"/>
      <c r="M382" s="159" t="s">
        <v>936</v>
      </c>
      <c r="N382" s="160"/>
      <c r="O382" s="160"/>
      <c r="P382" s="160"/>
      <c r="Q382" s="160"/>
      <c r="R382" s="281" t="s">
        <v>421</v>
      </c>
      <c r="S382" s="156" t="s">
        <v>55</v>
      </c>
      <c r="T382" s="157">
        <v>86000</v>
      </c>
      <c r="U382" s="239">
        <v>5.3752212389380528E-2</v>
      </c>
      <c r="V382" s="225"/>
      <c r="W382" s="288">
        <v>4622.6909999999998</v>
      </c>
      <c r="X382" s="289"/>
      <c r="Y382" s="258" t="s">
        <v>538</v>
      </c>
      <c r="Z382" s="240" t="s">
        <v>330</v>
      </c>
      <c r="AA382" s="48">
        <v>4622.6909999999998</v>
      </c>
    </row>
    <row r="383" spans="1:27" s="48" customFormat="1" ht="18" customHeight="1">
      <c r="A383" s="159">
        <v>0</v>
      </c>
      <c r="B383" s="160"/>
      <c r="C383" s="160"/>
      <c r="D383" s="161"/>
      <c r="E383" s="265" t="s">
        <v>504</v>
      </c>
      <c r="F383" s="160"/>
      <c r="G383" s="160"/>
      <c r="H383" s="160"/>
      <c r="I383" s="160"/>
      <c r="J383" s="160"/>
      <c r="K383" s="160"/>
      <c r="L383" s="160"/>
      <c r="M383" s="159" t="s">
        <v>936</v>
      </c>
      <c r="N383" s="160"/>
      <c r="O383" s="160"/>
      <c r="P383" s="160"/>
      <c r="Q383" s="160"/>
      <c r="R383" s="281" t="s">
        <v>427</v>
      </c>
      <c r="S383" s="156" t="s">
        <v>55</v>
      </c>
      <c r="T383" s="157">
        <v>2000</v>
      </c>
      <c r="U383" s="239">
        <v>5.3752212389380528E-2</v>
      </c>
      <c r="V383" s="225"/>
      <c r="W383" s="288">
        <v>107.50500000000001</v>
      </c>
      <c r="X383" s="289"/>
      <c r="Y383" s="258" t="s">
        <v>538</v>
      </c>
      <c r="Z383" s="240" t="s">
        <v>330</v>
      </c>
      <c r="AA383" s="48">
        <v>107.50500000000001</v>
      </c>
    </row>
    <row r="384" spans="1:27" s="48" customFormat="1" ht="18" customHeight="1">
      <c r="A384" s="159">
        <v>0</v>
      </c>
      <c r="B384" s="160"/>
      <c r="C384" s="160"/>
      <c r="D384" s="161"/>
      <c r="E384" s="265" t="s">
        <v>917</v>
      </c>
      <c r="F384" s="160"/>
      <c r="G384" s="160"/>
      <c r="H384" s="160"/>
      <c r="I384" s="160"/>
      <c r="J384" s="160"/>
      <c r="K384" s="160"/>
      <c r="L384" s="160"/>
      <c r="M384" s="159" t="s">
        <v>936</v>
      </c>
      <c r="N384" s="160"/>
      <c r="O384" s="160"/>
      <c r="P384" s="160"/>
      <c r="Q384" s="160"/>
      <c r="R384" s="281" t="s">
        <v>729</v>
      </c>
      <c r="S384" s="156" t="s">
        <v>55</v>
      </c>
      <c r="T384" s="157">
        <v>1300</v>
      </c>
      <c r="U384" s="239">
        <v>0.14528318584070796</v>
      </c>
      <c r="V384" s="225"/>
      <c r="W384" s="288">
        <v>188.869</v>
      </c>
      <c r="X384" s="289"/>
      <c r="Y384" s="258" t="s">
        <v>538</v>
      </c>
      <c r="Z384" s="240" t="s">
        <v>330</v>
      </c>
      <c r="AA384" s="48">
        <v>188.869</v>
      </c>
    </row>
    <row r="385" spans="1:27" s="48" customFormat="1" ht="18" customHeight="1">
      <c r="A385" s="159">
        <v>0</v>
      </c>
      <c r="B385" s="160"/>
      <c r="C385" s="160"/>
      <c r="D385" s="161"/>
      <c r="E385" s="265" t="s">
        <v>505</v>
      </c>
      <c r="F385" s="160"/>
      <c r="G385" s="160"/>
      <c r="H385" s="160"/>
      <c r="I385" s="160"/>
      <c r="J385" s="160"/>
      <c r="K385" s="160"/>
      <c r="L385" s="160"/>
      <c r="M385" s="159" t="s">
        <v>936</v>
      </c>
      <c r="N385" s="160"/>
      <c r="O385" s="160"/>
      <c r="P385" s="160"/>
      <c r="Q385" s="160"/>
      <c r="R385" s="281" t="s">
        <v>428</v>
      </c>
      <c r="S385" s="156" t="s">
        <v>55</v>
      </c>
      <c r="T385" s="157">
        <v>2000</v>
      </c>
      <c r="U385" s="239">
        <v>5.3752212389380528E-2</v>
      </c>
      <c r="V385" s="225"/>
      <c r="W385" s="288">
        <v>107.50500000000001</v>
      </c>
      <c r="X385" s="289"/>
      <c r="Y385" s="258" t="s">
        <v>538</v>
      </c>
      <c r="Z385" s="240" t="s">
        <v>330</v>
      </c>
      <c r="AA385" s="48">
        <v>107.50500000000001</v>
      </c>
    </row>
    <row r="386" spans="1:27" s="48" customFormat="1" ht="18" customHeight="1">
      <c r="A386" s="159">
        <v>0</v>
      </c>
      <c r="B386" s="160"/>
      <c r="C386" s="160"/>
      <c r="D386" s="161"/>
      <c r="E386" s="265" t="s">
        <v>918</v>
      </c>
      <c r="F386" s="160"/>
      <c r="G386" s="160"/>
      <c r="H386" s="160"/>
      <c r="I386" s="160"/>
      <c r="J386" s="160"/>
      <c r="K386" s="160"/>
      <c r="L386" s="160"/>
      <c r="M386" s="159" t="s">
        <v>936</v>
      </c>
      <c r="N386" s="160"/>
      <c r="O386" s="160"/>
      <c r="P386" s="160"/>
      <c r="Q386" s="160"/>
      <c r="R386" s="281" t="s">
        <v>537</v>
      </c>
      <c r="S386" s="156" t="s">
        <v>55</v>
      </c>
      <c r="T386" s="157">
        <v>1000</v>
      </c>
      <c r="U386" s="239">
        <v>0.26180530973451327</v>
      </c>
      <c r="V386" s="225"/>
      <c r="W386" s="288">
        <v>261.80599999999998</v>
      </c>
      <c r="X386" s="289"/>
      <c r="Y386" s="258" t="s">
        <v>538</v>
      </c>
      <c r="Z386" s="240" t="s">
        <v>330</v>
      </c>
      <c r="AA386" s="48">
        <v>261.80599999999998</v>
      </c>
    </row>
    <row r="387" spans="1:27" s="48" customFormat="1" ht="18" customHeight="1">
      <c r="A387" s="159">
        <v>0</v>
      </c>
      <c r="B387" s="160"/>
      <c r="C387" s="160"/>
      <c r="D387" s="161"/>
      <c r="E387" s="265" t="s">
        <v>508</v>
      </c>
      <c r="F387" s="160"/>
      <c r="G387" s="160"/>
      <c r="H387" s="160"/>
      <c r="I387" s="160"/>
      <c r="J387" s="160"/>
      <c r="K387" s="160"/>
      <c r="L387" s="160"/>
      <c r="M387" s="159" t="s">
        <v>936</v>
      </c>
      <c r="N387" s="160"/>
      <c r="O387" s="160"/>
      <c r="P387" s="160"/>
      <c r="Q387" s="160"/>
      <c r="R387" s="281" t="s">
        <v>431</v>
      </c>
      <c r="S387" s="156" t="s">
        <v>55</v>
      </c>
      <c r="T387" s="157">
        <v>9000</v>
      </c>
      <c r="U387" s="239">
        <v>3.9637168141592918E-2</v>
      </c>
      <c r="V387" s="225"/>
      <c r="W387" s="288">
        <v>356.73499999999996</v>
      </c>
      <c r="X387" s="289"/>
      <c r="Y387" s="258" t="s">
        <v>538</v>
      </c>
      <c r="Z387" s="240" t="s">
        <v>330</v>
      </c>
      <c r="AA387" s="48">
        <v>356.73499999999996</v>
      </c>
    </row>
    <row r="388" spans="1:27" s="48" customFormat="1" ht="18" customHeight="1">
      <c r="A388" s="159">
        <v>0</v>
      </c>
      <c r="B388" s="160"/>
      <c r="C388" s="160"/>
      <c r="D388" s="161"/>
      <c r="E388" s="265" t="s">
        <v>530</v>
      </c>
      <c r="F388" s="160"/>
      <c r="G388" s="160"/>
      <c r="H388" s="160"/>
      <c r="I388" s="160"/>
      <c r="J388" s="160"/>
      <c r="K388" s="160"/>
      <c r="L388" s="160"/>
      <c r="M388" s="159" t="s">
        <v>936</v>
      </c>
      <c r="N388" s="160"/>
      <c r="O388" s="160"/>
      <c r="P388" s="160"/>
      <c r="Q388" s="160"/>
      <c r="R388" s="281" t="s">
        <v>529</v>
      </c>
      <c r="S388" s="156" t="s">
        <v>55</v>
      </c>
      <c r="T388" s="157">
        <v>400</v>
      </c>
      <c r="U388" s="239">
        <v>0.2359911504424779</v>
      </c>
      <c r="V388" s="225"/>
      <c r="W388" s="288">
        <v>94.397000000000006</v>
      </c>
      <c r="X388" s="289"/>
      <c r="Y388" s="258" t="s">
        <v>538</v>
      </c>
      <c r="Z388" s="240" t="s">
        <v>330</v>
      </c>
      <c r="AA388" s="48">
        <v>94.397000000000006</v>
      </c>
    </row>
    <row r="389" spans="1:27" s="48" customFormat="1" ht="18" customHeight="1">
      <c r="A389" s="159">
        <v>0</v>
      </c>
      <c r="B389" s="160"/>
      <c r="C389" s="160"/>
      <c r="D389" s="161"/>
      <c r="E389" s="265" t="s">
        <v>319</v>
      </c>
      <c r="F389" s="160"/>
      <c r="G389" s="160"/>
      <c r="H389" s="160"/>
      <c r="I389" s="160"/>
      <c r="J389" s="160"/>
      <c r="K389" s="160"/>
      <c r="L389" s="160"/>
      <c r="M389" s="159" t="s">
        <v>936</v>
      </c>
      <c r="N389" s="160"/>
      <c r="O389" s="160"/>
      <c r="P389" s="160"/>
      <c r="Q389" s="160"/>
      <c r="R389" s="281" t="s">
        <v>254</v>
      </c>
      <c r="S389" s="156" t="s">
        <v>55</v>
      </c>
      <c r="T389" s="157">
        <v>5000</v>
      </c>
      <c r="U389" s="239">
        <v>7.6318584070796475E-2</v>
      </c>
      <c r="V389" s="225"/>
      <c r="W389" s="288">
        <v>381.59299999999996</v>
      </c>
      <c r="X389" s="289"/>
      <c r="Y389" s="258" t="s">
        <v>538</v>
      </c>
      <c r="Z389" s="240" t="s">
        <v>330</v>
      </c>
      <c r="AA389" s="48">
        <v>381.59299999999996</v>
      </c>
    </row>
    <row r="390" spans="1:27" s="48" customFormat="1" ht="18" customHeight="1">
      <c r="A390" s="159">
        <v>0</v>
      </c>
      <c r="B390" s="160"/>
      <c r="C390" s="160"/>
      <c r="D390" s="161"/>
      <c r="E390" s="265" t="s">
        <v>355</v>
      </c>
      <c r="F390" s="160"/>
      <c r="G390" s="160"/>
      <c r="H390" s="160"/>
      <c r="I390" s="160"/>
      <c r="J390" s="160"/>
      <c r="K390" s="160"/>
      <c r="L390" s="160"/>
      <c r="M390" s="159" t="s">
        <v>936</v>
      </c>
      <c r="N390" s="160"/>
      <c r="O390" s="160"/>
      <c r="P390" s="160"/>
      <c r="Q390" s="160"/>
      <c r="R390" s="281" t="s">
        <v>351</v>
      </c>
      <c r="S390" s="156" t="s">
        <v>55</v>
      </c>
      <c r="T390" s="157">
        <v>1000</v>
      </c>
      <c r="U390" s="239">
        <v>7.6318584070796475E-2</v>
      </c>
      <c r="V390" s="225"/>
      <c r="W390" s="288">
        <v>76.319000000000003</v>
      </c>
      <c r="X390" s="289"/>
      <c r="Y390" s="258" t="s">
        <v>538</v>
      </c>
      <c r="Z390" s="240" t="s">
        <v>330</v>
      </c>
      <c r="AA390" s="48">
        <v>76.319000000000003</v>
      </c>
    </row>
    <row r="391" spans="1:27" s="48" customFormat="1" ht="18" customHeight="1">
      <c r="A391" s="159">
        <v>0</v>
      </c>
      <c r="B391" s="160"/>
      <c r="C391" s="160"/>
      <c r="D391" s="161"/>
      <c r="E391" s="265" t="s">
        <v>312</v>
      </c>
      <c r="F391" s="160"/>
      <c r="G391" s="160"/>
      <c r="H391" s="160"/>
      <c r="I391" s="160"/>
      <c r="J391" s="160"/>
      <c r="K391" s="160"/>
      <c r="L391" s="160"/>
      <c r="M391" s="159" t="s">
        <v>936</v>
      </c>
      <c r="N391" s="160"/>
      <c r="O391" s="160"/>
      <c r="P391" s="160"/>
      <c r="Q391" s="160"/>
      <c r="R391" s="281" t="s">
        <v>247</v>
      </c>
      <c r="S391" s="156" t="s">
        <v>55</v>
      </c>
      <c r="T391" s="157">
        <v>4000</v>
      </c>
      <c r="U391" s="239">
        <v>9.7681415929203555E-2</v>
      </c>
      <c r="V391" s="225"/>
      <c r="W391" s="288">
        <v>390.726</v>
      </c>
      <c r="X391" s="289"/>
      <c r="Y391" s="258" t="s">
        <v>538</v>
      </c>
      <c r="Z391" s="240" t="s">
        <v>330</v>
      </c>
      <c r="AA391" s="48">
        <v>390.726</v>
      </c>
    </row>
    <row r="392" spans="1:27" s="48" customFormat="1" ht="18" customHeight="1">
      <c r="A392" s="159">
        <v>0</v>
      </c>
      <c r="B392" s="160"/>
      <c r="C392" s="160"/>
      <c r="D392" s="161"/>
      <c r="E392" s="265" t="s">
        <v>919</v>
      </c>
      <c r="F392" s="160"/>
      <c r="G392" s="160"/>
      <c r="H392" s="160"/>
      <c r="I392" s="160"/>
      <c r="J392" s="160"/>
      <c r="K392" s="160"/>
      <c r="L392" s="160"/>
      <c r="M392" s="159" t="s">
        <v>936</v>
      </c>
      <c r="N392" s="160"/>
      <c r="O392" s="160"/>
      <c r="P392" s="160"/>
      <c r="Q392" s="160"/>
      <c r="R392" s="281" t="s">
        <v>656</v>
      </c>
      <c r="S392" s="156" t="s">
        <v>55</v>
      </c>
      <c r="T392" s="157">
        <v>1000</v>
      </c>
      <c r="U392" s="239">
        <v>9.7681415929203541E-2</v>
      </c>
      <c r="V392" s="225"/>
      <c r="W392" s="288">
        <v>97.682000000000002</v>
      </c>
      <c r="X392" s="289"/>
      <c r="Y392" s="258" t="s">
        <v>538</v>
      </c>
      <c r="Z392" s="240" t="s">
        <v>330</v>
      </c>
      <c r="AA392" s="48">
        <v>97.682000000000002</v>
      </c>
    </row>
    <row r="393" spans="1:27" s="48" customFormat="1" ht="18" customHeight="1">
      <c r="A393" s="159">
        <v>0</v>
      </c>
      <c r="B393" s="160"/>
      <c r="C393" s="160"/>
      <c r="D393" s="161"/>
      <c r="E393" s="265" t="s">
        <v>528</v>
      </c>
      <c r="F393" s="160"/>
      <c r="G393" s="160"/>
      <c r="H393" s="160"/>
      <c r="I393" s="160"/>
      <c r="J393" s="160"/>
      <c r="K393" s="160"/>
      <c r="L393" s="160"/>
      <c r="M393" s="159" t="s">
        <v>936</v>
      </c>
      <c r="N393" s="160"/>
      <c r="O393" s="160"/>
      <c r="P393" s="160"/>
      <c r="Q393" s="160"/>
      <c r="R393" s="281" t="s">
        <v>536</v>
      </c>
      <c r="S393" s="156" t="s">
        <v>55</v>
      </c>
      <c r="T393" s="157">
        <v>5000</v>
      </c>
      <c r="U393" s="239">
        <v>9.7681415929203541E-2</v>
      </c>
      <c r="V393" s="225"/>
      <c r="W393" s="288">
        <v>488.40799999999996</v>
      </c>
      <c r="X393" s="289"/>
      <c r="Y393" s="258" t="s">
        <v>538</v>
      </c>
      <c r="Z393" s="240" t="s">
        <v>330</v>
      </c>
      <c r="AA393" s="48">
        <v>488.40799999999996</v>
      </c>
    </row>
    <row r="394" spans="1:27" s="48" customFormat="1" ht="18" customHeight="1">
      <c r="A394" s="159">
        <v>0</v>
      </c>
      <c r="B394" s="160"/>
      <c r="C394" s="160"/>
      <c r="D394" s="161"/>
      <c r="E394" s="265" t="s">
        <v>503</v>
      </c>
      <c r="F394" s="160"/>
      <c r="G394" s="160"/>
      <c r="H394" s="160"/>
      <c r="I394" s="160"/>
      <c r="J394" s="160"/>
      <c r="K394" s="160"/>
      <c r="L394" s="160"/>
      <c r="M394" s="159" t="s">
        <v>936</v>
      </c>
      <c r="N394" s="160"/>
      <c r="O394" s="160"/>
      <c r="P394" s="160"/>
      <c r="Q394" s="160"/>
      <c r="R394" s="281" t="s">
        <v>426</v>
      </c>
      <c r="S394" s="156" t="s">
        <v>55</v>
      </c>
      <c r="T394" s="157">
        <v>28000</v>
      </c>
      <c r="U394" s="239">
        <v>5.3752212389380528E-2</v>
      </c>
      <c r="V394" s="225"/>
      <c r="W394" s="288">
        <v>1505.0619999999999</v>
      </c>
      <c r="X394" s="289"/>
      <c r="Y394" s="258" t="s">
        <v>538</v>
      </c>
      <c r="Z394" s="240" t="s">
        <v>330</v>
      </c>
      <c r="AA394" s="48">
        <v>1505.0619999999999</v>
      </c>
    </row>
    <row r="395" spans="1:27" s="48" customFormat="1" ht="18" customHeight="1">
      <c r="A395" s="159">
        <v>0</v>
      </c>
      <c r="B395" s="160"/>
      <c r="C395" s="160"/>
      <c r="D395" s="161"/>
      <c r="E395" s="265" t="s">
        <v>322</v>
      </c>
      <c r="F395" s="160"/>
      <c r="G395" s="160"/>
      <c r="H395" s="160"/>
      <c r="I395" s="160"/>
      <c r="J395" s="160"/>
      <c r="K395" s="160"/>
      <c r="L395" s="160"/>
      <c r="M395" s="159" t="s">
        <v>936</v>
      </c>
      <c r="N395" s="160"/>
      <c r="O395" s="160"/>
      <c r="P395" s="160"/>
      <c r="Q395" s="160"/>
      <c r="R395" s="281" t="s">
        <v>257</v>
      </c>
      <c r="S395" s="156" t="s">
        <v>55</v>
      </c>
      <c r="T395" s="157">
        <v>30000</v>
      </c>
      <c r="U395" s="239">
        <v>5.3752212389380528E-2</v>
      </c>
      <c r="V395" s="225"/>
      <c r="W395" s="288">
        <v>1612.567</v>
      </c>
      <c r="X395" s="289"/>
      <c r="Y395" s="258" t="s">
        <v>538</v>
      </c>
      <c r="Z395" s="240" t="s">
        <v>330</v>
      </c>
      <c r="AA395" s="48">
        <v>1612.567</v>
      </c>
    </row>
    <row r="396" spans="1:27" s="48" customFormat="1" ht="18" customHeight="1">
      <c r="A396" s="159">
        <v>0</v>
      </c>
      <c r="B396" s="160"/>
      <c r="C396" s="160"/>
      <c r="D396" s="161"/>
      <c r="E396" s="265" t="s">
        <v>898</v>
      </c>
      <c r="F396" s="160"/>
      <c r="G396" s="160"/>
      <c r="H396" s="160"/>
      <c r="I396" s="160"/>
      <c r="J396" s="160"/>
      <c r="K396" s="160"/>
      <c r="L396" s="160"/>
      <c r="M396" s="159" t="s">
        <v>936</v>
      </c>
      <c r="N396" s="160"/>
      <c r="O396" s="160"/>
      <c r="P396" s="160"/>
      <c r="Q396" s="160"/>
      <c r="R396" s="281" t="s">
        <v>675</v>
      </c>
      <c r="S396" s="156" t="s">
        <v>55</v>
      </c>
      <c r="T396" s="157">
        <v>2000</v>
      </c>
      <c r="U396" s="239">
        <v>5.3752212389380535E-2</v>
      </c>
      <c r="V396" s="225"/>
      <c r="W396" s="288">
        <v>107.50500000000001</v>
      </c>
      <c r="X396" s="289"/>
      <c r="Y396" s="258" t="s">
        <v>538</v>
      </c>
      <c r="Z396" s="240" t="s">
        <v>330</v>
      </c>
      <c r="AA396" s="48">
        <v>107.50500000000001</v>
      </c>
    </row>
    <row r="397" spans="1:27" s="48" customFormat="1" ht="18" customHeight="1">
      <c r="A397" s="159">
        <v>0</v>
      </c>
      <c r="B397" s="160"/>
      <c r="C397" s="160"/>
      <c r="D397" s="161"/>
      <c r="E397" s="265" t="s">
        <v>519</v>
      </c>
      <c r="F397" s="160"/>
      <c r="G397" s="160"/>
      <c r="H397" s="160"/>
      <c r="I397" s="160"/>
      <c r="J397" s="160"/>
      <c r="K397" s="160"/>
      <c r="L397" s="160"/>
      <c r="M397" s="159" t="s">
        <v>936</v>
      </c>
      <c r="N397" s="160"/>
      <c r="O397" s="160"/>
      <c r="P397" s="160"/>
      <c r="Q397" s="160"/>
      <c r="R397" s="281" t="s">
        <v>517</v>
      </c>
      <c r="S397" s="156" t="s">
        <v>55</v>
      </c>
      <c r="T397" s="157">
        <v>14000</v>
      </c>
      <c r="U397" s="239">
        <v>5.3752212389380528E-2</v>
      </c>
      <c r="V397" s="225"/>
      <c r="W397" s="288">
        <v>752.53099999999995</v>
      </c>
      <c r="X397" s="289"/>
      <c r="Y397" s="258" t="s">
        <v>538</v>
      </c>
      <c r="Z397" s="240" t="s">
        <v>330</v>
      </c>
      <c r="AA397" s="48">
        <v>752.53099999999995</v>
      </c>
    </row>
    <row r="398" spans="1:27" s="48" customFormat="1" ht="18" customHeight="1">
      <c r="A398" s="159">
        <v>0</v>
      </c>
      <c r="B398" s="160"/>
      <c r="C398" s="160"/>
      <c r="D398" s="161"/>
      <c r="E398" s="265" t="s">
        <v>499</v>
      </c>
      <c r="F398" s="160"/>
      <c r="G398" s="160"/>
      <c r="H398" s="160"/>
      <c r="I398" s="160"/>
      <c r="J398" s="160"/>
      <c r="K398" s="160"/>
      <c r="L398" s="160"/>
      <c r="M398" s="159" t="s">
        <v>936</v>
      </c>
      <c r="N398" s="160"/>
      <c r="O398" s="160"/>
      <c r="P398" s="160"/>
      <c r="Q398" s="160"/>
      <c r="R398" s="281" t="s">
        <v>422</v>
      </c>
      <c r="S398" s="156" t="s">
        <v>55</v>
      </c>
      <c r="T398" s="157">
        <v>14000</v>
      </c>
      <c r="U398" s="239">
        <v>5.3752212389380528E-2</v>
      </c>
      <c r="V398" s="225"/>
      <c r="W398" s="288">
        <v>752.53099999999995</v>
      </c>
      <c r="X398" s="289"/>
      <c r="Y398" s="258" t="s">
        <v>538</v>
      </c>
      <c r="Z398" s="240" t="s">
        <v>330</v>
      </c>
      <c r="AA398" s="48">
        <v>752.53099999999995</v>
      </c>
    </row>
    <row r="399" spans="1:27" s="48" customFormat="1" ht="18" customHeight="1">
      <c r="A399" s="159">
        <v>0</v>
      </c>
      <c r="B399" s="160"/>
      <c r="C399" s="160"/>
      <c r="D399" s="161"/>
      <c r="E399" s="265" t="s">
        <v>899</v>
      </c>
      <c r="F399" s="160"/>
      <c r="G399" s="160"/>
      <c r="H399" s="160"/>
      <c r="I399" s="160"/>
      <c r="J399" s="160"/>
      <c r="K399" s="160"/>
      <c r="L399" s="160"/>
      <c r="M399" s="159" t="s">
        <v>936</v>
      </c>
      <c r="N399" s="160"/>
      <c r="O399" s="160"/>
      <c r="P399" s="160"/>
      <c r="Q399" s="160"/>
      <c r="R399" s="281" t="s">
        <v>671</v>
      </c>
      <c r="S399" s="156" t="s">
        <v>55</v>
      </c>
      <c r="T399" s="157">
        <v>4000</v>
      </c>
      <c r="U399" s="239">
        <v>5.3752212389380535E-2</v>
      </c>
      <c r="V399" s="225"/>
      <c r="W399" s="288">
        <v>215.00900000000001</v>
      </c>
      <c r="X399" s="289"/>
      <c r="Y399" s="258" t="s">
        <v>538</v>
      </c>
      <c r="Z399" s="240" t="s">
        <v>330</v>
      </c>
      <c r="AA399" s="48">
        <v>215.00900000000001</v>
      </c>
    </row>
    <row r="400" spans="1:27" s="48" customFormat="1" ht="18" customHeight="1">
      <c r="A400" s="159">
        <v>0</v>
      </c>
      <c r="B400" s="160"/>
      <c r="C400" s="160"/>
      <c r="D400" s="161"/>
      <c r="E400" s="265" t="s">
        <v>894</v>
      </c>
      <c r="F400" s="160"/>
      <c r="G400" s="160"/>
      <c r="H400" s="160"/>
      <c r="I400" s="160"/>
      <c r="J400" s="160"/>
      <c r="K400" s="160"/>
      <c r="L400" s="160"/>
      <c r="M400" s="159" t="s">
        <v>936</v>
      </c>
      <c r="N400" s="160"/>
      <c r="O400" s="160"/>
      <c r="P400" s="160"/>
      <c r="Q400" s="160"/>
      <c r="R400" s="281" t="s">
        <v>533</v>
      </c>
      <c r="S400" s="156" t="s">
        <v>55</v>
      </c>
      <c r="T400" s="157">
        <v>27000</v>
      </c>
      <c r="U400" s="239">
        <v>5.3752212389380535E-2</v>
      </c>
      <c r="V400" s="225"/>
      <c r="W400" s="288">
        <v>1451.31</v>
      </c>
      <c r="X400" s="289"/>
      <c r="Y400" s="258" t="s">
        <v>538</v>
      </c>
      <c r="Z400" s="240" t="s">
        <v>330</v>
      </c>
      <c r="AA400" s="48">
        <v>1451.31</v>
      </c>
    </row>
    <row r="401" spans="1:27" s="48" customFormat="1" ht="18" customHeight="1">
      <c r="A401" s="159">
        <v>0</v>
      </c>
      <c r="B401" s="160"/>
      <c r="C401" s="160"/>
      <c r="D401" s="161"/>
      <c r="E401" s="265" t="s">
        <v>895</v>
      </c>
      <c r="F401" s="160"/>
      <c r="G401" s="160"/>
      <c r="H401" s="160"/>
      <c r="I401" s="160"/>
      <c r="J401" s="160"/>
      <c r="K401" s="160"/>
      <c r="L401" s="160"/>
      <c r="M401" s="159" t="s">
        <v>936</v>
      </c>
      <c r="N401" s="160"/>
      <c r="O401" s="160"/>
      <c r="P401" s="160"/>
      <c r="Q401" s="160"/>
      <c r="R401" s="281" t="s">
        <v>534</v>
      </c>
      <c r="S401" s="156" t="s">
        <v>55</v>
      </c>
      <c r="T401" s="157">
        <v>26000</v>
      </c>
      <c r="U401" s="239">
        <v>5.3752212389380535E-2</v>
      </c>
      <c r="V401" s="225"/>
      <c r="W401" s="288">
        <v>1397.558</v>
      </c>
      <c r="X401" s="289"/>
      <c r="Y401" s="258" t="s">
        <v>538</v>
      </c>
      <c r="Z401" s="240" t="s">
        <v>330</v>
      </c>
      <c r="AA401" s="48">
        <v>1397.558</v>
      </c>
    </row>
    <row r="402" spans="1:27" s="48" customFormat="1" ht="18" customHeight="1">
      <c r="A402" s="159">
        <v>0</v>
      </c>
      <c r="B402" s="160"/>
      <c r="C402" s="160"/>
      <c r="D402" s="161"/>
      <c r="E402" s="265" t="s">
        <v>502</v>
      </c>
      <c r="F402" s="160"/>
      <c r="G402" s="160"/>
      <c r="H402" s="160"/>
      <c r="I402" s="160"/>
      <c r="J402" s="160"/>
      <c r="K402" s="160"/>
      <c r="L402" s="160"/>
      <c r="M402" s="159" t="s">
        <v>936</v>
      </c>
      <c r="N402" s="160"/>
      <c r="O402" s="160"/>
      <c r="P402" s="160"/>
      <c r="Q402" s="160"/>
      <c r="R402" s="281" t="s">
        <v>425</v>
      </c>
      <c r="S402" s="156" t="s">
        <v>55</v>
      </c>
      <c r="T402" s="157">
        <v>7000</v>
      </c>
      <c r="U402" s="239">
        <v>5.3752212389380528E-2</v>
      </c>
      <c r="V402" s="225"/>
      <c r="W402" s="288">
        <v>376.26599999999996</v>
      </c>
      <c r="X402" s="289"/>
      <c r="Y402" s="258" t="s">
        <v>538</v>
      </c>
      <c r="Z402" s="240" t="s">
        <v>330</v>
      </c>
      <c r="AA402" s="48">
        <v>376.26599999999996</v>
      </c>
    </row>
    <row r="403" spans="1:27" s="48" customFormat="1" ht="18" customHeight="1">
      <c r="A403" s="159">
        <v>0</v>
      </c>
      <c r="B403" s="160"/>
      <c r="C403" s="160"/>
      <c r="D403" s="161"/>
      <c r="E403" s="265" t="s">
        <v>509</v>
      </c>
      <c r="F403" s="160"/>
      <c r="G403" s="160"/>
      <c r="H403" s="160"/>
      <c r="I403" s="160"/>
      <c r="J403" s="160"/>
      <c r="K403" s="160"/>
      <c r="L403" s="160"/>
      <c r="M403" s="159" t="s">
        <v>936</v>
      </c>
      <c r="N403" s="160"/>
      <c r="O403" s="160"/>
      <c r="P403" s="160"/>
      <c r="Q403" s="160"/>
      <c r="R403" s="281" t="s">
        <v>432</v>
      </c>
      <c r="S403" s="156" t="s">
        <v>55</v>
      </c>
      <c r="T403" s="157">
        <v>12000</v>
      </c>
      <c r="U403" s="239">
        <v>3.9637168141592918E-2</v>
      </c>
      <c r="V403" s="225"/>
      <c r="W403" s="288">
        <v>475.64699999999999</v>
      </c>
      <c r="X403" s="289"/>
      <c r="Y403" s="258" t="s">
        <v>538</v>
      </c>
      <c r="Z403" s="240" t="s">
        <v>330</v>
      </c>
      <c r="AA403" s="48">
        <v>475.64699999999999</v>
      </c>
    </row>
    <row r="404" spans="1:27" s="48" customFormat="1" ht="18" customHeight="1">
      <c r="A404" s="159">
        <v>0</v>
      </c>
      <c r="B404" s="160"/>
      <c r="C404" s="160"/>
      <c r="D404" s="161"/>
      <c r="E404" s="265" t="s">
        <v>324</v>
      </c>
      <c r="F404" s="160"/>
      <c r="G404" s="160"/>
      <c r="H404" s="160"/>
      <c r="I404" s="160"/>
      <c r="J404" s="160"/>
      <c r="K404" s="160"/>
      <c r="L404" s="160"/>
      <c r="M404" s="159" t="s">
        <v>936</v>
      </c>
      <c r="N404" s="160"/>
      <c r="O404" s="160"/>
      <c r="P404" s="160"/>
      <c r="Q404" s="160"/>
      <c r="R404" s="281" t="s">
        <v>259</v>
      </c>
      <c r="S404" s="156" t="s">
        <v>55</v>
      </c>
      <c r="T404" s="157">
        <v>36000</v>
      </c>
      <c r="U404" s="239">
        <v>3.9637168141592918E-2</v>
      </c>
      <c r="V404" s="225"/>
      <c r="W404" s="288">
        <v>1426.9390000000001</v>
      </c>
      <c r="X404" s="289"/>
      <c r="Y404" s="258" t="s">
        <v>538</v>
      </c>
      <c r="Z404" s="240" t="s">
        <v>330</v>
      </c>
      <c r="AA404" s="48">
        <v>1426.9390000000001</v>
      </c>
    </row>
    <row r="405" spans="1:27" s="48" customFormat="1" ht="18" customHeight="1">
      <c r="A405" s="159">
        <v>0</v>
      </c>
      <c r="B405" s="160"/>
      <c r="C405" s="160"/>
      <c r="D405" s="161"/>
      <c r="E405" s="265" t="s">
        <v>920</v>
      </c>
      <c r="F405" s="160"/>
      <c r="G405" s="160"/>
      <c r="H405" s="160"/>
      <c r="I405" s="160"/>
      <c r="J405" s="160"/>
      <c r="K405" s="160"/>
      <c r="L405" s="160"/>
      <c r="M405" s="159" t="s">
        <v>936</v>
      </c>
      <c r="N405" s="160"/>
      <c r="O405" s="160"/>
      <c r="P405" s="160"/>
      <c r="Q405" s="160"/>
      <c r="R405" s="281" t="s">
        <v>531</v>
      </c>
      <c r="S405" s="156" t="s">
        <v>55</v>
      </c>
      <c r="T405" s="157">
        <v>25500</v>
      </c>
      <c r="U405" s="239">
        <v>3.9637168141592918E-2</v>
      </c>
      <c r="V405" s="225"/>
      <c r="W405" s="288">
        <v>1010.7479999999999</v>
      </c>
      <c r="X405" s="289"/>
      <c r="Y405" s="258" t="s">
        <v>538</v>
      </c>
      <c r="Z405" s="240" t="s">
        <v>330</v>
      </c>
      <c r="AA405" s="48">
        <v>1010.7479999999999</v>
      </c>
    </row>
    <row r="406" spans="1:27" s="48" customFormat="1" ht="18" customHeight="1">
      <c r="A406" s="159">
        <v>0</v>
      </c>
      <c r="B406" s="160"/>
      <c r="C406" s="160"/>
      <c r="D406" s="161"/>
      <c r="E406" s="265" t="s">
        <v>508</v>
      </c>
      <c r="F406" s="160"/>
      <c r="G406" s="160"/>
      <c r="H406" s="160"/>
      <c r="I406" s="160"/>
      <c r="J406" s="160"/>
      <c r="K406" s="160"/>
      <c r="L406" s="160"/>
      <c r="M406" s="159" t="s">
        <v>936</v>
      </c>
      <c r="N406" s="160"/>
      <c r="O406" s="160"/>
      <c r="P406" s="160"/>
      <c r="Q406" s="160"/>
      <c r="R406" s="281" t="s">
        <v>431</v>
      </c>
      <c r="S406" s="156" t="s">
        <v>55</v>
      </c>
      <c r="T406" s="157">
        <v>22500</v>
      </c>
      <c r="U406" s="239">
        <v>3.9637168141592918E-2</v>
      </c>
      <c r="V406" s="225"/>
      <c r="W406" s="288">
        <v>891.83699999999999</v>
      </c>
      <c r="X406" s="289"/>
      <c r="Y406" s="258" t="s">
        <v>538</v>
      </c>
      <c r="Z406" s="240" t="s">
        <v>330</v>
      </c>
      <c r="AA406" s="48">
        <v>891.83699999999999</v>
      </c>
    </row>
    <row r="407" spans="1:27" s="48" customFormat="1" ht="18" customHeight="1">
      <c r="A407" s="159">
        <v>0</v>
      </c>
      <c r="B407" s="160"/>
      <c r="C407" s="160"/>
      <c r="D407" s="161"/>
      <c r="E407" s="265" t="s">
        <v>316</v>
      </c>
      <c r="F407" s="160"/>
      <c r="G407" s="160"/>
      <c r="H407" s="160"/>
      <c r="I407" s="160"/>
      <c r="J407" s="160"/>
      <c r="K407" s="160"/>
      <c r="L407" s="160"/>
      <c r="M407" s="159" t="s">
        <v>936</v>
      </c>
      <c r="N407" s="160"/>
      <c r="O407" s="160"/>
      <c r="P407" s="160"/>
      <c r="Q407" s="160"/>
      <c r="R407" s="281" t="s">
        <v>251</v>
      </c>
      <c r="S407" s="156" t="s">
        <v>55</v>
      </c>
      <c r="T407" s="157">
        <v>1000</v>
      </c>
      <c r="U407" s="239">
        <v>7.6318584070796475E-2</v>
      </c>
      <c r="V407" s="225"/>
      <c r="W407" s="288">
        <v>76.319000000000003</v>
      </c>
      <c r="X407" s="289"/>
      <c r="Y407" s="258" t="s">
        <v>538</v>
      </c>
      <c r="Z407" s="240" t="s">
        <v>330</v>
      </c>
      <c r="AA407" s="48">
        <v>76.319000000000003</v>
      </c>
    </row>
    <row r="408" spans="1:27" s="48" customFormat="1" ht="18" customHeight="1">
      <c r="A408" s="159">
        <v>0</v>
      </c>
      <c r="B408" s="160"/>
      <c r="C408" s="160"/>
      <c r="D408" s="161"/>
      <c r="E408" s="265" t="s">
        <v>315</v>
      </c>
      <c r="F408" s="160"/>
      <c r="G408" s="160"/>
      <c r="H408" s="160"/>
      <c r="I408" s="160"/>
      <c r="J408" s="160"/>
      <c r="K408" s="160"/>
      <c r="L408" s="160"/>
      <c r="M408" s="159" t="s">
        <v>936</v>
      </c>
      <c r="N408" s="160"/>
      <c r="O408" s="160"/>
      <c r="P408" s="160"/>
      <c r="Q408" s="160"/>
      <c r="R408" s="281" t="s">
        <v>250</v>
      </c>
      <c r="S408" s="156" t="s">
        <v>55</v>
      </c>
      <c r="T408" s="157">
        <v>4000</v>
      </c>
      <c r="U408" s="239">
        <v>7.6318584070796475E-2</v>
      </c>
      <c r="V408" s="225"/>
      <c r="W408" s="288">
        <v>305.27499999999998</v>
      </c>
      <c r="X408" s="289"/>
      <c r="Y408" s="258" t="s">
        <v>538</v>
      </c>
      <c r="Z408" s="240" t="s">
        <v>330</v>
      </c>
      <c r="AA408" s="48">
        <v>305.27499999999998</v>
      </c>
    </row>
    <row r="409" spans="1:27" s="48" customFormat="1" ht="18" customHeight="1">
      <c r="A409" s="159">
        <v>0</v>
      </c>
      <c r="B409" s="160"/>
      <c r="C409" s="160"/>
      <c r="D409" s="161"/>
      <c r="E409" s="265" t="s">
        <v>314</v>
      </c>
      <c r="F409" s="160"/>
      <c r="G409" s="160"/>
      <c r="H409" s="160"/>
      <c r="I409" s="160"/>
      <c r="J409" s="160"/>
      <c r="K409" s="160"/>
      <c r="L409" s="160"/>
      <c r="M409" s="159" t="s">
        <v>936</v>
      </c>
      <c r="N409" s="160"/>
      <c r="O409" s="160"/>
      <c r="P409" s="160"/>
      <c r="Q409" s="160"/>
      <c r="R409" s="281" t="s">
        <v>249</v>
      </c>
      <c r="S409" s="156" t="s">
        <v>55</v>
      </c>
      <c r="T409" s="157">
        <v>3000</v>
      </c>
      <c r="U409" s="239">
        <v>7.6318584070796475E-2</v>
      </c>
      <c r="V409" s="225"/>
      <c r="W409" s="288">
        <v>228.95600000000002</v>
      </c>
      <c r="X409" s="289"/>
      <c r="Y409" s="258" t="s">
        <v>538</v>
      </c>
      <c r="Z409" s="240" t="s">
        <v>330</v>
      </c>
      <c r="AA409" s="48">
        <v>228.95600000000002</v>
      </c>
    </row>
    <row r="410" spans="1:27" s="48" customFormat="1" ht="18" customHeight="1">
      <c r="A410" s="159">
        <v>0</v>
      </c>
      <c r="B410" s="160"/>
      <c r="C410" s="160"/>
      <c r="D410" s="161"/>
      <c r="E410" s="265" t="s">
        <v>313</v>
      </c>
      <c r="F410" s="160"/>
      <c r="G410" s="160"/>
      <c r="H410" s="160"/>
      <c r="I410" s="160"/>
      <c r="J410" s="160"/>
      <c r="K410" s="160"/>
      <c r="L410" s="160"/>
      <c r="M410" s="159" t="s">
        <v>936</v>
      </c>
      <c r="N410" s="160"/>
      <c r="O410" s="160"/>
      <c r="P410" s="160"/>
      <c r="Q410" s="160"/>
      <c r="R410" s="281" t="s">
        <v>248</v>
      </c>
      <c r="S410" s="156" t="s">
        <v>55</v>
      </c>
      <c r="T410" s="157">
        <v>4000</v>
      </c>
      <c r="U410" s="239">
        <v>7.6318584070796475E-2</v>
      </c>
      <c r="V410" s="225"/>
      <c r="W410" s="288">
        <v>305.27499999999998</v>
      </c>
      <c r="X410" s="289"/>
      <c r="Y410" s="258" t="s">
        <v>538</v>
      </c>
      <c r="Z410" s="240" t="s">
        <v>330</v>
      </c>
      <c r="AA410" s="48">
        <v>305.27499999999998</v>
      </c>
    </row>
    <row r="411" spans="1:27" s="48" customFormat="1" ht="18" customHeight="1">
      <c r="A411" s="159">
        <v>0</v>
      </c>
      <c r="B411" s="160"/>
      <c r="C411" s="160"/>
      <c r="D411" s="161"/>
      <c r="E411" s="265" t="s">
        <v>312</v>
      </c>
      <c r="F411" s="160"/>
      <c r="G411" s="160"/>
      <c r="H411" s="160"/>
      <c r="I411" s="160"/>
      <c r="J411" s="160"/>
      <c r="K411" s="160"/>
      <c r="L411" s="160"/>
      <c r="M411" s="159" t="s">
        <v>936</v>
      </c>
      <c r="N411" s="160"/>
      <c r="O411" s="160"/>
      <c r="P411" s="160"/>
      <c r="Q411" s="160"/>
      <c r="R411" s="281" t="s">
        <v>247</v>
      </c>
      <c r="S411" s="156" t="s">
        <v>55</v>
      </c>
      <c r="T411" s="157">
        <v>14000</v>
      </c>
      <c r="U411" s="239">
        <v>9.7681415929203555E-2</v>
      </c>
      <c r="V411" s="225"/>
      <c r="W411" s="288">
        <v>1367.54</v>
      </c>
      <c r="X411" s="289"/>
      <c r="Y411" s="258" t="s">
        <v>538</v>
      </c>
      <c r="Z411" s="240" t="s">
        <v>330</v>
      </c>
      <c r="AA411" s="48">
        <v>1367.54</v>
      </c>
    </row>
    <row r="412" spans="1:27" s="48" customFormat="1" ht="18" customHeight="1">
      <c r="A412" s="159">
        <v>0</v>
      </c>
      <c r="B412" s="160"/>
      <c r="C412" s="160"/>
      <c r="D412" s="161"/>
      <c r="E412" s="265" t="s">
        <v>500</v>
      </c>
      <c r="F412" s="160"/>
      <c r="G412" s="160"/>
      <c r="H412" s="160"/>
      <c r="I412" s="160"/>
      <c r="J412" s="160"/>
      <c r="K412" s="160"/>
      <c r="L412" s="160"/>
      <c r="M412" s="159" t="s">
        <v>936</v>
      </c>
      <c r="N412" s="160"/>
      <c r="O412" s="160"/>
      <c r="P412" s="160"/>
      <c r="Q412" s="160"/>
      <c r="R412" s="281" t="s">
        <v>423</v>
      </c>
      <c r="S412" s="156" t="s">
        <v>55</v>
      </c>
      <c r="T412" s="157">
        <v>19000</v>
      </c>
      <c r="U412" s="239">
        <v>5.3752212389380528E-2</v>
      </c>
      <c r="V412" s="225"/>
      <c r="W412" s="288">
        <v>1021.293</v>
      </c>
      <c r="X412" s="289"/>
      <c r="Y412" s="258" t="s">
        <v>538</v>
      </c>
      <c r="Z412" s="240" t="s">
        <v>330</v>
      </c>
      <c r="AA412" s="48">
        <v>1021.293</v>
      </c>
    </row>
    <row r="413" spans="1:27" s="48" customFormat="1" ht="18" customHeight="1">
      <c r="A413" s="159">
        <v>0</v>
      </c>
      <c r="B413" s="160"/>
      <c r="C413" s="160"/>
      <c r="D413" s="161"/>
      <c r="E413" s="265" t="s">
        <v>501</v>
      </c>
      <c r="F413" s="160"/>
      <c r="G413" s="160"/>
      <c r="H413" s="160"/>
      <c r="I413" s="160"/>
      <c r="J413" s="160"/>
      <c r="K413" s="160"/>
      <c r="L413" s="160"/>
      <c r="M413" s="159" t="s">
        <v>936</v>
      </c>
      <c r="N413" s="160"/>
      <c r="O413" s="160"/>
      <c r="P413" s="160"/>
      <c r="Q413" s="160"/>
      <c r="R413" s="281" t="s">
        <v>424</v>
      </c>
      <c r="S413" s="156" t="s">
        <v>55</v>
      </c>
      <c r="T413" s="157">
        <v>21000</v>
      </c>
      <c r="U413" s="239">
        <v>5.3752212389380528E-2</v>
      </c>
      <c r="V413" s="225"/>
      <c r="W413" s="288">
        <v>1128.797</v>
      </c>
      <c r="X413" s="289"/>
      <c r="Y413" s="258" t="s">
        <v>538</v>
      </c>
      <c r="Z413" s="240" t="s">
        <v>330</v>
      </c>
      <c r="AA413" s="48">
        <v>1128.797</v>
      </c>
    </row>
    <row r="414" spans="1:27" s="48" customFormat="1" ht="18" customHeight="1">
      <c r="A414" s="159">
        <v>0</v>
      </c>
      <c r="B414" s="160"/>
      <c r="C414" s="160"/>
      <c r="D414" s="161"/>
      <c r="E414" s="265" t="s">
        <v>518</v>
      </c>
      <c r="F414" s="160"/>
      <c r="G414" s="160"/>
      <c r="H414" s="160"/>
      <c r="I414" s="160"/>
      <c r="J414" s="160"/>
      <c r="K414" s="160"/>
      <c r="L414" s="160"/>
      <c r="M414" s="159" t="s">
        <v>936</v>
      </c>
      <c r="N414" s="160"/>
      <c r="O414" s="160"/>
      <c r="P414" s="160"/>
      <c r="Q414" s="160"/>
      <c r="R414" s="281" t="s">
        <v>516</v>
      </c>
      <c r="S414" s="156" t="s">
        <v>55</v>
      </c>
      <c r="T414" s="157">
        <v>16000</v>
      </c>
      <c r="U414" s="239">
        <v>5.3752212389380528E-2</v>
      </c>
      <c r="V414" s="225"/>
      <c r="W414" s="288">
        <v>860.03599999999994</v>
      </c>
      <c r="X414" s="289"/>
      <c r="Y414" s="258" t="s">
        <v>538</v>
      </c>
      <c r="Z414" s="240" t="s">
        <v>330</v>
      </c>
      <c r="AA414" s="48">
        <v>860.03599999999994</v>
      </c>
    </row>
    <row r="415" spans="1:27" s="48" customFormat="1" ht="18" customHeight="1">
      <c r="A415" s="159">
        <v>0</v>
      </c>
      <c r="B415" s="160"/>
      <c r="C415" s="160"/>
      <c r="D415" s="161"/>
      <c r="E415" s="265" t="s">
        <v>497</v>
      </c>
      <c r="F415" s="160"/>
      <c r="G415" s="160"/>
      <c r="H415" s="160"/>
      <c r="I415" s="160"/>
      <c r="J415" s="160"/>
      <c r="K415" s="160"/>
      <c r="L415" s="160"/>
      <c r="M415" s="159" t="s">
        <v>936</v>
      </c>
      <c r="N415" s="160"/>
      <c r="O415" s="160"/>
      <c r="P415" s="160"/>
      <c r="Q415" s="160"/>
      <c r="R415" s="281" t="s">
        <v>420</v>
      </c>
      <c r="S415" s="156" t="s">
        <v>55</v>
      </c>
      <c r="T415" s="157">
        <v>18000</v>
      </c>
      <c r="U415" s="239">
        <v>5.3752212389380528E-2</v>
      </c>
      <c r="V415" s="225"/>
      <c r="W415" s="288">
        <v>967.54</v>
      </c>
      <c r="X415" s="289"/>
      <c r="Y415" s="258" t="s">
        <v>538</v>
      </c>
      <c r="Z415" s="240" t="s">
        <v>330</v>
      </c>
      <c r="AA415" s="48">
        <v>967.54</v>
      </c>
    </row>
    <row r="416" spans="1:27" s="48" customFormat="1" ht="18" customHeight="1">
      <c r="A416" s="159">
        <v>0</v>
      </c>
      <c r="B416" s="160"/>
      <c r="C416" s="160"/>
      <c r="D416" s="161"/>
      <c r="E416" s="265" t="s">
        <v>321</v>
      </c>
      <c r="F416" s="160"/>
      <c r="G416" s="160"/>
      <c r="H416" s="160"/>
      <c r="I416" s="160"/>
      <c r="J416" s="160"/>
      <c r="K416" s="160"/>
      <c r="L416" s="160"/>
      <c r="M416" s="159" t="s">
        <v>936</v>
      </c>
      <c r="N416" s="160"/>
      <c r="O416" s="160"/>
      <c r="P416" s="160"/>
      <c r="Q416" s="160"/>
      <c r="R416" s="281" t="s">
        <v>256</v>
      </c>
      <c r="S416" s="156" t="s">
        <v>55</v>
      </c>
      <c r="T416" s="157">
        <v>12000</v>
      </c>
      <c r="U416" s="239">
        <v>5.3752212389380528E-2</v>
      </c>
      <c r="V416" s="225"/>
      <c r="W416" s="288">
        <v>645.02699999999993</v>
      </c>
      <c r="X416" s="289"/>
      <c r="Y416" s="258" t="s">
        <v>538</v>
      </c>
      <c r="Z416" s="240" t="s">
        <v>330</v>
      </c>
      <c r="AA416" s="48">
        <v>645.02699999999993</v>
      </c>
    </row>
    <row r="417" spans="1:27" s="48" customFormat="1" ht="18" customHeight="1">
      <c r="A417" s="159">
        <v>0</v>
      </c>
      <c r="B417" s="160"/>
      <c r="C417" s="160"/>
      <c r="D417" s="161"/>
      <c r="E417" s="265" t="s">
        <v>495</v>
      </c>
      <c r="F417" s="160"/>
      <c r="G417" s="160"/>
      <c r="H417" s="160"/>
      <c r="I417" s="160"/>
      <c r="J417" s="160"/>
      <c r="K417" s="160"/>
      <c r="L417" s="160"/>
      <c r="M417" s="159" t="s">
        <v>936</v>
      </c>
      <c r="N417" s="160"/>
      <c r="O417" s="160"/>
      <c r="P417" s="160"/>
      <c r="Q417" s="160"/>
      <c r="R417" s="281" t="s">
        <v>418</v>
      </c>
      <c r="S417" s="156" t="s">
        <v>55</v>
      </c>
      <c r="T417" s="157">
        <v>2000</v>
      </c>
      <c r="U417" s="239">
        <v>5.3752212389380528E-2</v>
      </c>
      <c r="V417" s="225"/>
      <c r="W417" s="288">
        <v>107.50500000000001</v>
      </c>
      <c r="X417" s="289"/>
      <c r="Y417" s="258" t="s">
        <v>538</v>
      </c>
      <c r="Z417" s="240" t="s">
        <v>330</v>
      </c>
      <c r="AA417" s="48">
        <v>107.50500000000001</v>
      </c>
    </row>
    <row r="418" spans="1:27" s="48" customFormat="1" ht="18" customHeight="1">
      <c r="A418" s="159">
        <v>0</v>
      </c>
      <c r="B418" s="160"/>
      <c r="C418" s="160"/>
      <c r="D418" s="161"/>
      <c r="E418" s="265" t="s">
        <v>526</v>
      </c>
      <c r="F418" s="160"/>
      <c r="G418" s="160"/>
      <c r="H418" s="160"/>
      <c r="I418" s="160"/>
      <c r="J418" s="160"/>
      <c r="K418" s="160"/>
      <c r="L418" s="160"/>
      <c r="M418" s="159" t="s">
        <v>936</v>
      </c>
      <c r="N418" s="160"/>
      <c r="O418" s="160"/>
      <c r="P418" s="160"/>
      <c r="Q418" s="160"/>
      <c r="R418" s="281" t="s">
        <v>525</v>
      </c>
      <c r="S418" s="156" t="s">
        <v>55</v>
      </c>
      <c r="T418" s="157">
        <v>28000</v>
      </c>
      <c r="U418" s="239">
        <v>5.3752212389380528E-2</v>
      </c>
      <c r="V418" s="225"/>
      <c r="W418" s="288">
        <v>1505.0619999999999</v>
      </c>
      <c r="X418" s="289"/>
      <c r="Y418" s="258" t="s">
        <v>538</v>
      </c>
      <c r="Z418" s="240" t="s">
        <v>330</v>
      </c>
      <c r="AA418" s="48">
        <v>1505.0619999999999</v>
      </c>
    </row>
    <row r="419" spans="1:27" s="48" customFormat="1" ht="18" customHeight="1">
      <c r="A419" s="159">
        <v>0</v>
      </c>
      <c r="B419" s="160"/>
      <c r="C419" s="160"/>
      <c r="D419" s="161"/>
      <c r="E419" s="265" t="s">
        <v>522</v>
      </c>
      <c r="F419" s="160"/>
      <c r="G419" s="160"/>
      <c r="H419" s="160"/>
      <c r="I419" s="160"/>
      <c r="J419" s="160"/>
      <c r="K419" s="160"/>
      <c r="L419" s="160"/>
      <c r="M419" s="159" t="s">
        <v>936</v>
      </c>
      <c r="N419" s="160"/>
      <c r="O419" s="160"/>
      <c r="P419" s="160"/>
      <c r="Q419" s="160"/>
      <c r="R419" s="281" t="s">
        <v>520</v>
      </c>
      <c r="S419" s="156" t="s">
        <v>55</v>
      </c>
      <c r="T419" s="157">
        <v>3000</v>
      </c>
      <c r="U419" s="239">
        <v>5.3752212389380535E-2</v>
      </c>
      <c r="V419" s="225"/>
      <c r="W419" s="288">
        <v>161.25700000000001</v>
      </c>
      <c r="X419" s="289"/>
      <c r="Y419" s="258" t="s">
        <v>538</v>
      </c>
      <c r="Z419" s="240" t="s">
        <v>330</v>
      </c>
      <c r="AA419" s="48">
        <v>161.25700000000001</v>
      </c>
    </row>
    <row r="420" spans="1:27" s="48" customFormat="1" ht="18" customHeight="1">
      <c r="A420" s="159">
        <v>0</v>
      </c>
      <c r="B420" s="160"/>
      <c r="C420" s="160"/>
      <c r="D420" s="161"/>
      <c r="E420" s="265" t="s">
        <v>496</v>
      </c>
      <c r="F420" s="160"/>
      <c r="G420" s="160"/>
      <c r="H420" s="160"/>
      <c r="I420" s="160"/>
      <c r="J420" s="160"/>
      <c r="K420" s="160"/>
      <c r="L420" s="160"/>
      <c r="M420" s="159" t="s">
        <v>936</v>
      </c>
      <c r="N420" s="160"/>
      <c r="O420" s="160"/>
      <c r="P420" s="160"/>
      <c r="Q420" s="160"/>
      <c r="R420" s="281" t="s">
        <v>419</v>
      </c>
      <c r="S420" s="156" t="s">
        <v>55</v>
      </c>
      <c r="T420" s="157">
        <v>58000</v>
      </c>
      <c r="U420" s="239">
        <v>5.3752212389380528E-2</v>
      </c>
      <c r="V420" s="225"/>
      <c r="W420" s="288">
        <v>3117.6290000000004</v>
      </c>
      <c r="X420" s="289"/>
      <c r="Y420" s="258" t="s">
        <v>538</v>
      </c>
      <c r="Z420" s="240" t="s">
        <v>330</v>
      </c>
      <c r="AA420" s="48">
        <v>3117.6290000000004</v>
      </c>
    </row>
    <row r="421" spans="1:27" s="48" customFormat="1" ht="18" customHeight="1">
      <c r="A421" s="159">
        <v>0</v>
      </c>
      <c r="B421" s="160"/>
      <c r="C421" s="160"/>
      <c r="D421" s="161"/>
      <c r="E421" s="265" t="s">
        <v>527</v>
      </c>
      <c r="F421" s="160"/>
      <c r="G421" s="160"/>
      <c r="H421" s="160"/>
      <c r="I421" s="160"/>
      <c r="J421" s="160"/>
      <c r="K421" s="160"/>
      <c r="L421" s="160"/>
      <c r="M421" s="159" t="s">
        <v>936</v>
      </c>
      <c r="N421" s="160"/>
      <c r="O421" s="160"/>
      <c r="P421" s="160"/>
      <c r="Q421" s="160"/>
      <c r="R421" s="281" t="s">
        <v>521</v>
      </c>
      <c r="S421" s="156" t="s">
        <v>55</v>
      </c>
      <c r="T421" s="157">
        <v>3000</v>
      </c>
      <c r="U421" s="239">
        <v>5.3752212389380535E-2</v>
      </c>
      <c r="V421" s="225"/>
      <c r="W421" s="288">
        <v>161.25700000000001</v>
      </c>
      <c r="X421" s="289"/>
      <c r="Y421" s="258" t="s">
        <v>538</v>
      </c>
      <c r="Z421" s="240" t="s">
        <v>330</v>
      </c>
      <c r="AA421" s="48">
        <v>161.25700000000001</v>
      </c>
    </row>
    <row r="422" spans="1:27" s="48" customFormat="1" ht="18" customHeight="1">
      <c r="A422" s="159">
        <v>0</v>
      </c>
      <c r="B422" s="160"/>
      <c r="C422" s="160"/>
      <c r="D422" s="161"/>
      <c r="E422" s="265" t="s">
        <v>492</v>
      </c>
      <c r="F422" s="160"/>
      <c r="G422" s="160"/>
      <c r="H422" s="160"/>
      <c r="I422" s="160"/>
      <c r="J422" s="160"/>
      <c r="K422" s="160"/>
      <c r="L422" s="160"/>
      <c r="M422" s="159" t="s">
        <v>936</v>
      </c>
      <c r="N422" s="160"/>
      <c r="O422" s="160"/>
      <c r="P422" s="160"/>
      <c r="Q422" s="160"/>
      <c r="R422" s="281" t="s">
        <v>415</v>
      </c>
      <c r="S422" s="156" t="s">
        <v>55</v>
      </c>
      <c r="T422" s="157">
        <v>1500</v>
      </c>
      <c r="U422" s="239">
        <v>3.9637168141592918E-2</v>
      </c>
      <c r="V422" s="225"/>
      <c r="W422" s="288">
        <v>59.455999999999996</v>
      </c>
      <c r="X422" s="289"/>
      <c r="Y422" s="258" t="s">
        <v>538</v>
      </c>
      <c r="Z422" s="240" t="s">
        <v>330</v>
      </c>
      <c r="AA422" s="48">
        <v>59.455999999999996</v>
      </c>
    </row>
    <row r="423" spans="1:27" s="48" customFormat="1" ht="18" customHeight="1">
      <c r="A423" s="159">
        <v>0</v>
      </c>
      <c r="B423" s="160"/>
      <c r="C423" s="160"/>
      <c r="D423" s="161"/>
      <c r="E423" s="265" t="s">
        <v>327</v>
      </c>
      <c r="F423" s="160"/>
      <c r="G423" s="160"/>
      <c r="H423" s="160"/>
      <c r="I423" s="160"/>
      <c r="J423" s="160"/>
      <c r="K423" s="160"/>
      <c r="L423" s="160"/>
      <c r="M423" s="159" t="s">
        <v>936</v>
      </c>
      <c r="N423" s="160"/>
      <c r="O423" s="160"/>
      <c r="P423" s="160"/>
      <c r="Q423" s="160"/>
      <c r="R423" s="281" t="s">
        <v>262</v>
      </c>
      <c r="S423" s="156" t="s">
        <v>55</v>
      </c>
      <c r="T423" s="157">
        <v>10500</v>
      </c>
      <c r="U423" s="239">
        <v>3.9637168141592918E-2</v>
      </c>
      <c r="V423" s="225"/>
      <c r="W423" s="288">
        <v>416.19099999999997</v>
      </c>
      <c r="X423" s="289"/>
      <c r="Y423" s="258" t="s">
        <v>538</v>
      </c>
      <c r="Z423" s="240" t="s">
        <v>330</v>
      </c>
      <c r="AA423" s="48">
        <v>416.19099999999997</v>
      </c>
    </row>
    <row r="424" spans="1:27" s="48" customFormat="1" ht="18" customHeight="1">
      <c r="A424" s="159">
        <v>0</v>
      </c>
      <c r="B424" s="160"/>
      <c r="C424" s="160"/>
      <c r="D424" s="161"/>
      <c r="E424" s="265" t="s">
        <v>893</v>
      </c>
      <c r="F424" s="160"/>
      <c r="G424" s="160"/>
      <c r="H424" s="160"/>
      <c r="I424" s="160"/>
      <c r="J424" s="160"/>
      <c r="K424" s="160"/>
      <c r="L424" s="160"/>
      <c r="M424" s="159" t="s">
        <v>936</v>
      </c>
      <c r="N424" s="160"/>
      <c r="O424" s="160"/>
      <c r="P424" s="160"/>
      <c r="Q424" s="160"/>
      <c r="R424" s="281" t="s">
        <v>673</v>
      </c>
      <c r="S424" s="156" t="s">
        <v>55</v>
      </c>
      <c r="T424" s="157">
        <v>9000</v>
      </c>
      <c r="U424" s="239">
        <v>9.7681415929203541E-2</v>
      </c>
      <c r="V424" s="225"/>
      <c r="W424" s="288">
        <v>879.13299999999992</v>
      </c>
      <c r="X424" s="289"/>
      <c r="Y424" s="258" t="s">
        <v>538</v>
      </c>
      <c r="Z424" s="240" t="s">
        <v>330</v>
      </c>
      <c r="AA424" s="48">
        <v>879.13299999999992</v>
      </c>
    </row>
    <row r="425" spans="1:27" s="48" customFormat="1" ht="18" customHeight="1">
      <c r="A425" s="159">
        <v>0</v>
      </c>
      <c r="B425" s="160"/>
      <c r="C425" s="160"/>
      <c r="D425" s="161"/>
      <c r="E425" s="265" t="s">
        <v>501</v>
      </c>
      <c r="F425" s="160"/>
      <c r="G425" s="160"/>
      <c r="H425" s="160"/>
      <c r="I425" s="160"/>
      <c r="J425" s="160"/>
      <c r="K425" s="160"/>
      <c r="L425" s="160"/>
      <c r="M425" s="159" t="s">
        <v>936</v>
      </c>
      <c r="N425" s="160"/>
      <c r="O425" s="160"/>
      <c r="P425" s="160"/>
      <c r="Q425" s="160"/>
      <c r="R425" s="281" t="s">
        <v>424</v>
      </c>
      <c r="S425" s="156" t="s">
        <v>55</v>
      </c>
      <c r="T425" s="157">
        <v>27000</v>
      </c>
      <c r="U425" s="239">
        <v>5.3752212389380528E-2</v>
      </c>
      <c r="V425" s="225"/>
      <c r="W425" s="288">
        <v>1451.31</v>
      </c>
      <c r="X425" s="289"/>
      <c r="Y425" s="258" t="s">
        <v>538</v>
      </c>
      <c r="Z425" s="240" t="s">
        <v>330</v>
      </c>
      <c r="AA425" s="48">
        <v>1451.31</v>
      </c>
    </row>
    <row r="426" spans="1:27" s="48" customFormat="1" ht="18" customHeight="1">
      <c r="A426" s="159">
        <v>0</v>
      </c>
      <c r="B426" s="160"/>
      <c r="C426" s="160"/>
      <c r="D426" s="161"/>
      <c r="E426" s="265" t="s">
        <v>327</v>
      </c>
      <c r="F426" s="160"/>
      <c r="G426" s="160"/>
      <c r="H426" s="160"/>
      <c r="I426" s="160"/>
      <c r="J426" s="160"/>
      <c r="K426" s="160"/>
      <c r="L426" s="160"/>
      <c r="M426" s="159" t="s">
        <v>936</v>
      </c>
      <c r="N426" s="160"/>
      <c r="O426" s="160"/>
      <c r="P426" s="160"/>
      <c r="Q426" s="160"/>
      <c r="R426" s="281" t="s">
        <v>262</v>
      </c>
      <c r="S426" s="156" t="s">
        <v>55</v>
      </c>
      <c r="T426" s="157">
        <v>4500</v>
      </c>
      <c r="U426" s="239">
        <v>3.9637168141592918E-2</v>
      </c>
      <c r="V426" s="225"/>
      <c r="W426" s="288">
        <v>178.36799999999999</v>
      </c>
      <c r="X426" s="289"/>
      <c r="Y426" s="258" t="s">
        <v>538</v>
      </c>
      <c r="Z426" s="240" t="s">
        <v>330</v>
      </c>
      <c r="AA426" s="48">
        <v>178.36799999999999</v>
      </c>
    </row>
    <row r="427" spans="1:27" s="48" customFormat="1" ht="18" customHeight="1">
      <c r="A427" s="159">
        <v>0</v>
      </c>
      <c r="B427" s="160"/>
      <c r="C427" s="160"/>
      <c r="D427" s="161"/>
      <c r="E427" s="265" t="s">
        <v>326</v>
      </c>
      <c r="F427" s="160"/>
      <c r="G427" s="160"/>
      <c r="H427" s="160"/>
      <c r="I427" s="160"/>
      <c r="J427" s="160"/>
      <c r="K427" s="160"/>
      <c r="L427" s="160"/>
      <c r="M427" s="159" t="s">
        <v>936</v>
      </c>
      <c r="N427" s="160"/>
      <c r="O427" s="160"/>
      <c r="P427" s="160"/>
      <c r="Q427" s="160"/>
      <c r="R427" s="281" t="s">
        <v>261</v>
      </c>
      <c r="S427" s="156" t="s">
        <v>55</v>
      </c>
      <c r="T427" s="157">
        <v>12000</v>
      </c>
      <c r="U427" s="239">
        <v>3.9637168141592918E-2</v>
      </c>
      <c r="V427" s="225"/>
      <c r="W427" s="288">
        <v>475.64699999999999</v>
      </c>
      <c r="X427" s="289"/>
      <c r="Y427" s="258" t="s">
        <v>538</v>
      </c>
      <c r="Z427" s="240" t="s">
        <v>330</v>
      </c>
      <c r="AA427" s="48">
        <v>475.64699999999999</v>
      </c>
    </row>
    <row r="428" spans="1:27" s="48" customFormat="1" ht="18" customHeight="1">
      <c r="A428" s="159">
        <v>0</v>
      </c>
      <c r="B428" s="160"/>
      <c r="C428" s="160"/>
      <c r="D428" s="161"/>
      <c r="E428" s="265" t="s">
        <v>325</v>
      </c>
      <c r="F428" s="160"/>
      <c r="G428" s="160"/>
      <c r="H428" s="160"/>
      <c r="I428" s="160"/>
      <c r="J428" s="160"/>
      <c r="K428" s="160"/>
      <c r="L428" s="160"/>
      <c r="M428" s="159" t="s">
        <v>936</v>
      </c>
      <c r="N428" s="160"/>
      <c r="O428" s="160"/>
      <c r="P428" s="160"/>
      <c r="Q428" s="160"/>
      <c r="R428" s="281" t="s">
        <v>260</v>
      </c>
      <c r="S428" s="156" t="s">
        <v>55</v>
      </c>
      <c r="T428" s="157">
        <v>18000</v>
      </c>
      <c r="U428" s="239">
        <v>3.9637168141592918E-2</v>
      </c>
      <c r="V428" s="225"/>
      <c r="W428" s="288">
        <v>713.47</v>
      </c>
      <c r="X428" s="289"/>
      <c r="Y428" s="258" t="s">
        <v>538</v>
      </c>
      <c r="Z428" s="240" t="s">
        <v>330</v>
      </c>
      <c r="AA428" s="48">
        <v>713.47</v>
      </c>
    </row>
    <row r="429" spans="1:27" s="48" customFormat="1" ht="18" customHeight="1">
      <c r="A429" s="159">
        <v>0</v>
      </c>
      <c r="B429" s="160"/>
      <c r="C429" s="160"/>
      <c r="D429" s="161"/>
      <c r="E429" s="265" t="s">
        <v>507</v>
      </c>
      <c r="F429" s="160"/>
      <c r="G429" s="160"/>
      <c r="H429" s="160"/>
      <c r="I429" s="160"/>
      <c r="J429" s="160"/>
      <c r="K429" s="160"/>
      <c r="L429" s="160"/>
      <c r="M429" s="159" t="s">
        <v>936</v>
      </c>
      <c r="N429" s="160"/>
      <c r="O429" s="160"/>
      <c r="P429" s="160"/>
      <c r="Q429" s="160"/>
      <c r="R429" s="281" t="s">
        <v>430</v>
      </c>
      <c r="S429" s="156" t="s">
        <v>55</v>
      </c>
      <c r="T429" s="157">
        <v>13500</v>
      </c>
      <c r="U429" s="239">
        <v>3.9637168141592918E-2</v>
      </c>
      <c r="V429" s="225"/>
      <c r="W429" s="288">
        <v>535.10199999999998</v>
      </c>
      <c r="X429" s="289"/>
      <c r="Y429" s="258" t="s">
        <v>538</v>
      </c>
      <c r="Z429" s="240" t="s">
        <v>330</v>
      </c>
      <c r="AA429" s="48">
        <v>535.10199999999998</v>
      </c>
    </row>
    <row r="430" spans="1:27" s="48" customFormat="1" ht="18" customHeight="1">
      <c r="A430" s="159">
        <v>0</v>
      </c>
      <c r="B430" s="160"/>
      <c r="C430" s="160"/>
      <c r="D430" s="161"/>
      <c r="E430" s="265" t="s">
        <v>318</v>
      </c>
      <c r="F430" s="160"/>
      <c r="G430" s="160"/>
      <c r="H430" s="160"/>
      <c r="I430" s="160"/>
      <c r="J430" s="160"/>
      <c r="K430" s="160"/>
      <c r="L430" s="160"/>
      <c r="M430" s="159" t="s">
        <v>936</v>
      </c>
      <c r="N430" s="160"/>
      <c r="O430" s="160"/>
      <c r="P430" s="160"/>
      <c r="Q430" s="160"/>
      <c r="R430" s="281" t="s">
        <v>253</v>
      </c>
      <c r="S430" s="156" t="s">
        <v>55</v>
      </c>
      <c r="T430" s="157">
        <v>9000</v>
      </c>
      <c r="U430" s="239">
        <v>7.6318584070796475E-2</v>
      </c>
      <c r="V430" s="225"/>
      <c r="W430" s="288">
        <v>686.86799999999994</v>
      </c>
      <c r="X430" s="289"/>
      <c r="Y430" s="258" t="s">
        <v>538</v>
      </c>
      <c r="Z430" s="240" t="s">
        <v>330</v>
      </c>
      <c r="AA430" s="48">
        <v>686.86799999999994</v>
      </c>
    </row>
    <row r="431" spans="1:27" s="48" customFormat="1" ht="18" customHeight="1">
      <c r="A431" s="159">
        <v>0</v>
      </c>
      <c r="B431" s="160"/>
      <c r="C431" s="160"/>
      <c r="D431" s="161"/>
      <c r="E431" s="265" t="s">
        <v>317</v>
      </c>
      <c r="F431" s="160"/>
      <c r="G431" s="160"/>
      <c r="H431" s="160"/>
      <c r="I431" s="160"/>
      <c r="J431" s="160"/>
      <c r="K431" s="160"/>
      <c r="L431" s="160"/>
      <c r="M431" s="159" t="s">
        <v>936</v>
      </c>
      <c r="N431" s="160"/>
      <c r="O431" s="160"/>
      <c r="P431" s="160"/>
      <c r="Q431" s="160"/>
      <c r="R431" s="281" t="s">
        <v>252</v>
      </c>
      <c r="S431" s="156" t="s">
        <v>55</v>
      </c>
      <c r="T431" s="157">
        <v>15000</v>
      </c>
      <c r="U431" s="239">
        <v>7.6318584070796475E-2</v>
      </c>
      <c r="V431" s="225"/>
      <c r="W431" s="288">
        <v>1144.779</v>
      </c>
      <c r="X431" s="289"/>
      <c r="Y431" s="258" t="s">
        <v>538</v>
      </c>
      <c r="Z431" s="240" t="s">
        <v>330</v>
      </c>
      <c r="AA431" s="48">
        <v>1144.779</v>
      </c>
    </row>
    <row r="432" spans="1:27" s="48" customFormat="1" ht="18" customHeight="1">
      <c r="A432" s="159">
        <v>0</v>
      </c>
      <c r="B432" s="160"/>
      <c r="C432" s="160"/>
      <c r="D432" s="161"/>
      <c r="E432" s="265" t="s">
        <v>310</v>
      </c>
      <c r="F432" s="160"/>
      <c r="G432" s="160"/>
      <c r="H432" s="160"/>
      <c r="I432" s="160"/>
      <c r="J432" s="160"/>
      <c r="K432" s="160"/>
      <c r="L432" s="160"/>
      <c r="M432" s="159" t="s">
        <v>936</v>
      </c>
      <c r="N432" s="160"/>
      <c r="O432" s="160"/>
      <c r="P432" s="160"/>
      <c r="Q432" s="160"/>
      <c r="R432" s="281" t="s">
        <v>245</v>
      </c>
      <c r="S432" s="156" t="s">
        <v>55</v>
      </c>
      <c r="T432" s="157">
        <v>14000</v>
      </c>
      <c r="U432" s="239">
        <v>7.6318584070796475E-2</v>
      </c>
      <c r="V432" s="225"/>
      <c r="W432" s="288">
        <v>1068.461</v>
      </c>
      <c r="X432" s="289"/>
      <c r="Y432" s="258" t="s">
        <v>538</v>
      </c>
      <c r="Z432" s="240" t="s">
        <v>330</v>
      </c>
      <c r="AA432" s="48">
        <v>1068.461</v>
      </c>
    </row>
    <row r="433" spans="1:27" s="48" customFormat="1" ht="18" customHeight="1">
      <c r="A433" s="159">
        <v>0</v>
      </c>
      <c r="B433" s="160"/>
      <c r="C433" s="160"/>
      <c r="D433" s="161"/>
      <c r="E433" s="265" t="s">
        <v>895</v>
      </c>
      <c r="F433" s="160"/>
      <c r="G433" s="160"/>
      <c r="H433" s="160"/>
      <c r="I433" s="160"/>
      <c r="J433" s="160"/>
      <c r="K433" s="160"/>
      <c r="L433" s="160"/>
      <c r="M433" s="159" t="s">
        <v>936</v>
      </c>
      <c r="N433" s="160"/>
      <c r="O433" s="160"/>
      <c r="P433" s="160"/>
      <c r="Q433" s="160"/>
      <c r="R433" s="281" t="s">
        <v>534</v>
      </c>
      <c r="S433" s="156" t="s">
        <v>55</v>
      </c>
      <c r="T433" s="157">
        <v>13000</v>
      </c>
      <c r="U433" s="239">
        <v>5.3752212389380535E-2</v>
      </c>
      <c r="V433" s="225"/>
      <c r="W433" s="288">
        <v>698.779</v>
      </c>
      <c r="X433" s="289"/>
      <c r="Y433" s="258" t="s">
        <v>538</v>
      </c>
      <c r="Z433" s="240" t="s">
        <v>330</v>
      </c>
      <c r="AA433" s="48">
        <v>698.779</v>
      </c>
    </row>
    <row r="434" spans="1:27" s="48" customFormat="1" ht="18" customHeight="1">
      <c r="A434" s="159">
        <v>0</v>
      </c>
      <c r="B434" s="160"/>
      <c r="C434" s="160"/>
      <c r="D434" s="161"/>
      <c r="E434" s="265" t="s">
        <v>504</v>
      </c>
      <c r="F434" s="160"/>
      <c r="G434" s="160"/>
      <c r="H434" s="160"/>
      <c r="I434" s="160"/>
      <c r="J434" s="160"/>
      <c r="K434" s="160"/>
      <c r="L434" s="160"/>
      <c r="M434" s="159" t="s">
        <v>936</v>
      </c>
      <c r="N434" s="160"/>
      <c r="O434" s="160"/>
      <c r="P434" s="160"/>
      <c r="Q434" s="160"/>
      <c r="R434" s="281" t="s">
        <v>427</v>
      </c>
      <c r="S434" s="156" t="s">
        <v>55</v>
      </c>
      <c r="T434" s="157">
        <v>3000</v>
      </c>
      <c r="U434" s="239">
        <v>5.3752212389380528E-2</v>
      </c>
      <c r="V434" s="225"/>
      <c r="W434" s="288">
        <v>161.25700000000001</v>
      </c>
      <c r="X434" s="289"/>
      <c r="Y434" s="258" t="s">
        <v>538</v>
      </c>
      <c r="Z434" s="240" t="s">
        <v>330</v>
      </c>
      <c r="AA434" s="48">
        <v>161.25700000000001</v>
      </c>
    </row>
    <row r="435" spans="1:27" s="48" customFormat="1" ht="18" customHeight="1">
      <c r="A435" s="159">
        <v>0</v>
      </c>
      <c r="B435" s="160"/>
      <c r="C435" s="160"/>
      <c r="D435" s="161"/>
      <c r="E435" s="265" t="s">
        <v>307</v>
      </c>
      <c r="F435" s="160"/>
      <c r="G435" s="160"/>
      <c r="H435" s="160"/>
      <c r="I435" s="160"/>
      <c r="J435" s="160"/>
      <c r="K435" s="160"/>
      <c r="L435" s="160"/>
      <c r="M435" s="159" t="s">
        <v>936</v>
      </c>
      <c r="N435" s="160"/>
      <c r="O435" s="160"/>
      <c r="P435" s="160"/>
      <c r="Q435" s="160"/>
      <c r="R435" s="281" t="s">
        <v>242</v>
      </c>
      <c r="S435" s="156" t="s">
        <v>55</v>
      </c>
      <c r="T435" s="157">
        <v>8000</v>
      </c>
      <c r="U435" s="239">
        <v>7.6318584070796475E-2</v>
      </c>
      <c r="V435" s="225"/>
      <c r="W435" s="288">
        <v>610.54899999999998</v>
      </c>
      <c r="X435" s="289"/>
      <c r="Y435" s="258" t="s">
        <v>538</v>
      </c>
      <c r="Z435" s="240" t="s">
        <v>330</v>
      </c>
      <c r="AA435" s="48">
        <v>610.54899999999998</v>
      </c>
    </row>
    <row r="436" spans="1:27" s="48" customFormat="1" ht="18" customHeight="1">
      <c r="A436" s="159">
        <v>0</v>
      </c>
      <c r="B436" s="160"/>
      <c r="C436" s="160"/>
      <c r="D436" s="161"/>
      <c r="E436" s="265" t="s">
        <v>308</v>
      </c>
      <c r="F436" s="160"/>
      <c r="G436" s="160"/>
      <c r="H436" s="160"/>
      <c r="I436" s="160"/>
      <c r="J436" s="160"/>
      <c r="K436" s="160"/>
      <c r="L436" s="160"/>
      <c r="M436" s="159" t="s">
        <v>936</v>
      </c>
      <c r="N436" s="160"/>
      <c r="O436" s="160"/>
      <c r="P436" s="160"/>
      <c r="Q436" s="160"/>
      <c r="R436" s="281" t="s">
        <v>243</v>
      </c>
      <c r="S436" s="156" t="s">
        <v>55</v>
      </c>
      <c r="T436" s="157">
        <v>8000</v>
      </c>
      <c r="U436" s="239">
        <v>7.6318584070796475E-2</v>
      </c>
      <c r="V436" s="225"/>
      <c r="W436" s="288">
        <v>610.54899999999998</v>
      </c>
      <c r="X436" s="289"/>
      <c r="Y436" s="258" t="s">
        <v>538</v>
      </c>
      <c r="Z436" s="240" t="s">
        <v>330</v>
      </c>
      <c r="AA436" s="48">
        <v>610.54899999999998</v>
      </c>
    </row>
    <row r="437" spans="1:27" s="48" customFormat="1" ht="18" customHeight="1">
      <c r="A437" s="159">
        <v>0</v>
      </c>
      <c r="B437" s="160"/>
      <c r="C437" s="160"/>
      <c r="D437" s="161"/>
      <c r="E437" s="265" t="s">
        <v>309</v>
      </c>
      <c r="F437" s="160"/>
      <c r="G437" s="160"/>
      <c r="H437" s="160"/>
      <c r="I437" s="160"/>
      <c r="J437" s="160"/>
      <c r="K437" s="160"/>
      <c r="L437" s="160"/>
      <c r="M437" s="159" t="s">
        <v>936</v>
      </c>
      <c r="N437" s="160"/>
      <c r="O437" s="160"/>
      <c r="P437" s="160"/>
      <c r="Q437" s="160"/>
      <c r="R437" s="281" t="s">
        <v>244</v>
      </c>
      <c r="S437" s="156" t="s">
        <v>55</v>
      </c>
      <c r="T437" s="157">
        <v>3000</v>
      </c>
      <c r="U437" s="239">
        <v>7.6318584070796475E-2</v>
      </c>
      <c r="V437" s="225"/>
      <c r="W437" s="288">
        <v>228.95600000000002</v>
      </c>
      <c r="X437" s="289"/>
      <c r="Y437" s="258" t="s">
        <v>538</v>
      </c>
      <c r="Z437" s="240" t="s">
        <v>330</v>
      </c>
      <c r="AA437" s="48">
        <v>228.95600000000002</v>
      </c>
    </row>
    <row r="438" spans="1:27" s="48" customFormat="1" ht="18" customHeight="1">
      <c r="A438" s="159">
        <v>0</v>
      </c>
      <c r="B438" s="160"/>
      <c r="C438" s="160"/>
      <c r="D438" s="161"/>
      <c r="E438" s="265" t="s">
        <v>311</v>
      </c>
      <c r="F438" s="160"/>
      <c r="G438" s="160"/>
      <c r="H438" s="160"/>
      <c r="I438" s="160"/>
      <c r="J438" s="160"/>
      <c r="K438" s="160"/>
      <c r="L438" s="160"/>
      <c r="M438" s="159" t="s">
        <v>936</v>
      </c>
      <c r="N438" s="160"/>
      <c r="O438" s="160"/>
      <c r="P438" s="160"/>
      <c r="Q438" s="160"/>
      <c r="R438" s="281" t="s">
        <v>246</v>
      </c>
      <c r="S438" s="156" t="s">
        <v>55</v>
      </c>
      <c r="T438" s="157">
        <v>20000</v>
      </c>
      <c r="U438" s="239">
        <v>7.6318584070796475E-2</v>
      </c>
      <c r="V438" s="225"/>
      <c r="W438" s="288">
        <v>1526.3720000000001</v>
      </c>
      <c r="X438" s="289"/>
      <c r="Y438" s="258" t="s">
        <v>538</v>
      </c>
      <c r="Z438" s="240" t="s">
        <v>330</v>
      </c>
      <c r="AA438" s="48">
        <v>1526.3720000000001</v>
      </c>
    </row>
    <row r="439" spans="1:27" s="48" customFormat="1" ht="18" customHeight="1">
      <c r="A439" s="159">
        <v>0</v>
      </c>
      <c r="B439" s="160"/>
      <c r="C439" s="160"/>
      <c r="D439" s="161"/>
      <c r="E439" s="265" t="s">
        <v>894</v>
      </c>
      <c r="F439" s="160"/>
      <c r="G439" s="160"/>
      <c r="H439" s="160"/>
      <c r="I439" s="160"/>
      <c r="J439" s="160"/>
      <c r="K439" s="160"/>
      <c r="L439" s="160"/>
      <c r="M439" s="159" t="s">
        <v>936</v>
      </c>
      <c r="N439" s="160"/>
      <c r="O439" s="160"/>
      <c r="P439" s="160"/>
      <c r="Q439" s="160"/>
      <c r="R439" s="281" t="s">
        <v>533</v>
      </c>
      <c r="S439" s="156" t="s">
        <v>55</v>
      </c>
      <c r="T439" s="157">
        <v>1000</v>
      </c>
      <c r="U439" s="239">
        <v>5.3752212389380535E-2</v>
      </c>
      <c r="V439" s="225"/>
      <c r="W439" s="288">
        <v>53.753</v>
      </c>
      <c r="X439" s="289"/>
      <c r="Y439" s="258" t="s">
        <v>538</v>
      </c>
      <c r="Z439" s="240" t="s">
        <v>330</v>
      </c>
      <c r="AA439" s="48">
        <v>53.753</v>
      </c>
    </row>
    <row r="440" spans="1:27" s="48" customFormat="1" ht="18" customHeight="1">
      <c r="A440" s="159">
        <v>0</v>
      </c>
      <c r="B440" s="160"/>
      <c r="C440" s="160"/>
      <c r="D440" s="161"/>
      <c r="E440" s="265" t="s">
        <v>895</v>
      </c>
      <c r="F440" s="160"/>
      <c r="G440" s="160"/>
      <c r="H440" s="160"/>
      <c r="I440" s="160"/>
      <c r="J440" s="160"/>
      <c r="K440" s="160"/>
      <c r="L440" s="160"/>
      <c r="M440" s="159" t="s">
        <v>936</v>
      </c>
      <c r="N440" s="160"/>
      <c r="O440" s="160"/>
      <c r="P440" s="160"/>
      <c r="Q440" s="160"/>
      <c r="R440" s="281" t="s">
        <v>534</v>
      </c>
      <c r="S440" s="156" t="s">
        <v>55</v>
      </c>
      <c r="T440" s="157">
        <v>13000</v>
      </c>
      <c r="U440" s="239">
        <v>5.3752212389380535E-2</v>
      </c>
      <c r="V440" s="225"/>
      <c r="W440" s="288">
        <v>698.779</v>
      </c>
      <c r="X440" s="289"/>
      <c r="Y440" s="258" t="s">
        <v>538</v>
      </c>
      <c r="Z440" s="240" t="s">
        <v>330</v>
      </c>
      <c r="AA440" s="48">
        <v>698.779</v>
      </c>
    </row>
    <row r="441" spans="1:27" s="48" customFormat="1" ht="18" customHeight="1">
      <c r="A441" s="159">
        <v>0</v>
      </c>
      <c r="B441" s="160"/>
      <c r="C441" s="160"/>
      <c r="D441" s="161"/>
      <c r="E441" s="265" t="s">
        <v>493</v>
      </c>
      <c r="F441" s="160"/>
      <c r="G441" s="160"/>
      <c r="H441" s="160"/>
      <c r="I441" s="160"/>
      <c r="J441" s="160"/>
      <c r="K441" s="160"/>
      <c r="L441" s="160"/>
      <c r="M441" s="159" t="s">
        <v>936</v>
      </c>
      <c r="N441" s="160"/>
      <c r="O441" s="160"/>
      <c r="P441" s="160"/>
      <c r="Q441" s="160"/>
      <c r="R441" s="281" t="s">
        <v>416</v>
      </c>
      <c r="S441" s="156" t="s">
        <v>55</v>
      </c>
      <c r="T441" s="157">
        <v>24000</v>
      </c>
      <c r="U441" s="239">
        <v>3.9637168141592918E-2</v>
      </c>
      <c r="V441" s="225"/>
      <c r="W441" s="288">
        <v>951.29300000000001</v>
      </c>
      <c r="X441" s="289"/>
      <c r="Y441" s="258" t="s">
        <v>538</v>
      </c>
      <c r="Z441" s="240" t="s">
        <v>330</v>
      </c>
      <c r="AA441" s="48">
        <v>951.29300000000001</v>
      </c>
    </row>
    <row r="442" spans="1:27" s="48" customFormat="1" ht="18" customHeight="1">
      <c r="A442" s="159">
        <v>0</v>
      </c>
      <c r="B442" s="160"/>
      <c r="C442" s="160"/>
      <c r="D442" s="161"/>
      <c r="E442" s="265" t="s">
        <v>323</v>
      </c>
      <c r="F442" s="160"/>
      <c r="G442" s="160"/>
      <c r="H442" s="160"/>
      <c r="I442" s="160"/>
      <c r="J442" s="160"/>
      <c r="K442" s="160"/>
      <c r="L442" s="160"/>
      <c r="M442" s="159" t="s">
        <v>936</v>
      </c>
      <c r="N442" s="160"/>
      <c r="O442" s="160"/>
      <c r="P442" s="160"/>
      <c r="Q442" s="160"/>
      <c r="R442" s="281" t="s">
        <v>258</v>
      </c>
      <c r="S442" s="156" t="s">
        <v>55</v>
      </c>
      <c r="T442" s="157">
        <v>33000</v>
      </c>
      <c r="U442" s="239">
        <v>3.9637168141592918E-2</v>
      </c>
      <c r="V442" s="225"/>
      <c r="W442" s="288">
        <v>1308.027</v>
      </c>
      <c r="X442" s="289"/>
      <c r="Y442" s="258" t="s">
        <v>538</v>
      </c>
      <c r="Z442" s="240" t="s">
        <v>330</v>
      </c>
      <c r="AA442" s="48">
        <v>1308.027</v>
      </c>
    </row>
    <row r="443" spans="1:27" s="48" customFormat="1" ht="18" customHeight="1">
      <c r="A443" s="159">
        <v>0</v>
      </c>
      <c r="B443" s="160"/>
      <c r="C443" s="160"/>
      <c r="D443" s="161"/>
      <c r="E443" s="265" t="s">
        <v>503</v>
      </c>
      <c r="F443" s="160"/>
      <c r="G443" s="160"/>
      <c r="H443" s="160"/>
      <c r="I443" s="160"/>
      <c r="J443" s="160"/>
      <c r="K443" s="160"/>
      <c r="L443" s="160"/>
      <c r="M443" s="159" t="s">
        <v>936</v>
      </c>
      <c r="N443" s="160"/>
      <c r="O443" s="160"/>
      <c r="P443" s="160"/>
      <c r="Q443" s="160"/>
      <c r="R443" s="281" t="s">
        <v>426</v>
      </c>
      <c r="S443" s="156" t="s">
        <v>55</v>
      </c>
      <c r="T443" s="157">
        <v>9000</v>
      </c>
      <c r="U443" s="239">
        <v>5.3752212389380528E-2</v>
      </c>
      <c r="V443" s="225"/>
      <c r="W443" s="288">
        <v>483.77</v>
      </c>
      <c r="X443" s="289"/>
      <c r="Y443" s="258" t="s">
        <v>538</v>
      </c>
      <c r="Z443" s="240" t="s">
        <v>330</v>
      </c>
      <c r="AA443" s="48">
        <v>483.77</v>
      </c>
    </row>
    <row r="444" spans="1:27" s="48" customFormat="1" ht="18" customHeight="1">
      <c r="A444" s="159">
        <v>0</v>
      </c>
      <c r="B444" s="160"/>
      <c r="C444" s="160"/>
      <c r="D444" s="161"/>
      <c r="E444" s="265" t="s">
        <v>355</v>
      </c>
      <c r="F444" s="160"/>
      <c r="G444" s="160"/>
      <c r="H444" s="160"/>
      <c r="I444" s="160"/>
      <c r="J444" s="160"/>
      <c r="K444" s="160"/>
      <c r="L444" s="160"/>
      <c r="M444" s="159" t="s">
        <v>936</v>
      </c>
      <c r="N444" s="160"/>
      <c r="O444" s="160"/>
      <c r="P444" s="160"/>
      <c r="Q444" s="160"/>
      <c r="R444" s="281" t="s">
        <v>351</v>
      </c>
      <c r="S444" s="156" t="s">
        <v>55</v>
      </c>
      <c r="T444" s="157">
        <v>1000</v>
      </c>
      <c r="U444" s="239">
        <v>7.6318584070796475E-2</v>
      </c>
      <c r="V444" s="225"/>
      <c r="W444" s="288">
        <v>76.319000000000003</v>
      </c>
      <c r="X444" s="289"/>
      <c r="Y444" s="258" t="s">
        <v>538</v>
      </c>
      <c r="Z444" s="240" t="s">
        <v>330</v>
      </c>
      <c r="AA444" s="48">
        <v>76.319000000000003</v>
      </c>
    </row>
    <row r="445" spans="1:27" s="48" customFormat="1" ht="18" customHeight="1">
      <c r="A445" s="159">
        <v>0</v>
      </c>
      <c r="B445" s="160"/>
      <c r="C445" s="160"/>
      <c r="D445" s="161"/>
      <c r="E445" s="265" t="s">
        <v>896</v>
      </c>
      <c r="F445" s="160"/>
      <c r="G445" s="160"/>
      <c r="H445" s="160"/>
      <c r="I445" s="160"/>
      <c r="J445" s="160"/>
      <c r="K445" s="160"/>
      <c r="L445" s="160"/>
      <c r="M445" s="159" t="s">
        <v>936</v>
      </c>
      <c r="N445" s="160"/>
      <c r="O445" s="160"/>
      <c r="P445" s="160"/>
      <c r="Q445" s="160"/>
      <c r="R445" s="281" t="s">
        <v>672</v>
      </c>
      <c r="S445" s="156" t="s">
        <v>55</v>
      </c>
      <c r="T445" s="157">
        <v>4000</v>
      </c>
      <c r="U445" s="239">
        <v>6.4336283185840712E-2</v>
      </c>
      <c r="V445" s="225"/>
      <c r="W445" s="288">
        <v>257.346</v>
      </c>
      <c r="X445" s="289"/>
      <c r="Y445" s="258" t="s">
        <v>538</v>
      </c>
      <c r="Z445" s="240" t="s">
        <v>330</v>
      </c>
      <c r="AA445" s="48">
        <v>257.346</v>
      </c>
    </row>
    <row r="446" spans="1:27" s="48" customFormat="1" ht="18" customHeight="1">
      <c r="A446" s="159">
        <v>0</v>
      </c>
      <c r="B446" s="160"/>
      <c r="C446" s="160"/>
      <c r="D446" s="161"/>
      <c r="E446" s="265" t="s">
        <v>898</v>
      </c>
      <c r="F446" s="160"/>
      <c r="G446" s="160"/>
      <c r="H446" s="160"/>
      <c r="I446" s="160"/>
      <c r="J446" s="160"/>
      <c r="K446" s="160"/>
      <c r="L446" s="160"/>
      <c r="M446" s="159" t="s">
        <v>936</v>
      </c>
      <c r="N446" s="160"/>
      <c r="O446" s="160"/>
      <c r="P446" s="160"/>
      <c r="Q446" s="160"/>
      <c r="R446" s="281" t="s">
        <v>675</v>
      </c>
      <c r="S446" s="156" t="s">
        <v>55</v>
      </c>
      <c r="T446" s="157">
        <v>3000</v>
      </c>
      <c r="U446" s="239">
        <v>5.3752212389380535E-2</v>
      </c>
      <c r="V446" s="225"/>
      <c r="W446" s="288">
        <v>161.25700000000001</v>
      </c>
      <c r="X446" s="289"/>
      <c r="Y446" s="258" t="s">
        <v>538</v>
      </c>
      <c r="Z446" s="240" t="s">
        <v>330</v>
      </c>
      <c r="AA446" s="48">
        <v>161.25700000000001</v>
      </c>
    </row>
    <row r="447" spans="1:27" s="48" customFormat="1" ht="18" customHeight="1">
      <c r="A447" s="159">
        <v>0</v>
      </c>
      <c r="B447" s="160"/>
      <c r="C447" s="160"/>
      <c r="D447" s="161"/>
      <c r="E447" s="265" t="s">
        <v>494</v>
      </c>
      <c r="F447" s="160"/>
      <c r="G447" s="160"/>
      <c r="H447" s="160"/>
      <c r="I447" s="160"/>
      <c r="J447" s="160"/>
      <c r="K447" s="160"/>
      <c r="L447" s="160"/>
      <c r="M447" s="159" t="s">
        <v>936</v>
      </c>
      <c r="N447" s="160"/>
      <c r="O447" s="160"/>
      <c r="P447" s="160"/>
      <c r="Q447" s="160"/>
      <c r="R447" s="281" t="s">
        <v>417</v>
      </c>
      <c r="S447" s="156" t="s">
        <v>55</v>
      </c>
      <c r="T447" s="157">
        <v>9000</v>
      </c>
      <c r="U447" s="239">
        <v>5.3752212389380528E-2</v>
      </c>
      <c r="V447" s="225"/>
      <c r="W447" s="288">
        <v>483.77</v>
      </c>
      <c r="X447" s="289"/>
      <c r="Y447" s="258" t="s">
        <v>538</v>
      </c>
      <c r="Z447" s="240" t="s">
        <v>330</v>
      </c>
      <c r="AA447" s="48">
        <v>483.77</v>
      </c>
    </row>
    <row r="448" spans="1:27" s="48" customFormat="1" ht="18" customHeight="1">
      <c r="A448" s="159">
        <v>0</v>
      </c>
      <c r="B448" s="160"/>
      <c r="C448" s="160"/>
      <c r="D448" s="161"/>
      <c r="E448" s="265" t="s">
        <v>897</v>
      </c>
      <c r="F448" s="160"/>
      <c r="G448" s="160"/>
      <c r="H448" s="160"/>
      <c r="I448" s="160"/>
      <c r="J448" s="160"/>
      <c r="K448" s="160"/>
      <c r="L448" s="160"/>
      <c r="M448" s="159" t="s">
        <v>936</v>
      </c>
      <c r="N448" s="160"/>
      <c r="O448" s="160"/>
      <c r="P448" s="160"/>
      <c r="Q448" s="160"/>
      <c r="R448" s="281" t="s">
        <v>532</v>
      </c>
      <c r="S448" s="156" t="s">
        <v>55</v>
      </c>
      <c r="T448" s="157">
        <v>10000</v>
      </c>
      <c r="U448" s="239">
        <v>5.3752212389380535E-2</v>
      </c>
      <c r="V448" s="225"/>
      <c r="W448" s="288">
        <v>537.52300000000002</v>
      </c>
      <c r="X448" s="289"/>
      <c r="Y448" s="258" t="s">
        <v>538</v>
      </c>
      <c r="Z448" s="240" t="s">
        <v>330</v>
      </c>
      <c r="AA448" s="48">
        <v>537.52300000000002</v>
      </c>
    </row>
    <row r="449" spans="1:27" s="48" customFormat="1" ht="18" customHeight="1">
      <c r="A449" s="159">
        <v>0</v>
      </c>
      <c r="B449" s="160"/>
      <c r="C449" s="160"/>
      <c r="D449" s="161"/>
      <c r="E449" s="265" t="s">
        <v>921</v>
      </c>
      <c r="F449" s="160"/>
      <c r="G449" s="160"/>
      <c r="H449" s="160"/>
      <c r="I449" s="160"/>
      <c r="J449" s="160"/>
      <c r="K449" s="160"/>
      <c r="L449" s="160"/>
      <c r="M449" s="159" t="s">
        <v>936</v>
      </c>
      <c r="N449" s="160"/>
      <c r="O449" s="160"/>
      <c r="P449" s="160"/>
      <c r="Q449" s="160"/>
      <c r="R449" s="281" t="s">
        <v>535</v>
      </c>
      <c r="S449" s="156" t="s">
        <v>55</v>
      </c>
      <c r="T449" s="157">
        <v>14000</v>
      </c>
      <c r="U449" s="239">
        <v>5.3752212389380535E-2</v>
      </c>
      <c r="V449" s="225"/>
      <c r="W449" s="288">
        <v>752.53099999999995</v>
      </c>
      <c r="X449" s="289"/>
      <c r="Y449" s="258" t="s">
        <v>538</v>
      </c>
      <c r="Z449" s="240" t="s">
        <v>330</v>
      </c>
      <c r="AA449" s="48">
        <v>752.53099999999995</v>
      </c>
    </row>
    <row r="450" spans="1:27" s="48" customFormat="1" ht="18" customHeight="1">
      <c r="A450" s="159">
        <v>0</v>
      </c>
      <c r="B450" s="160"/>
      <c r="C450" s="160"/>
      <c r="D450" s="161"/>
      <c r="E450" s="265" t="s">
        <v>506</v>
      </c>
      <c r="F450" s="160"/>
      <c r="G450" s="160"/>
      <c r="H450" s="160"/>
      <c r="I450" s="160"/>
      <c r="J450" s="160"/>
      <c r="K450" s="160"/>
      <c r="L450" s="160"/>
      <c r="M450" s="159" t="s">
        <v>936</v>
      </c>
      <c r="N450" s="160"/>
      <c r="O450" s="160"/>
      <c r="P450" s="160"/>
      <c r="Q450" s="160"/>
      <c r="R450" s="281" t="s">
        <v>429</v>
      </c>
      <c r="S450" s="156" t="s">
        <v>55</v>
      </c>
      <c r="T450" s="157">
        <v>23000</v>
      </c>
      <c r="U450" s="239">
        <v>5.3752212389380528E-2</v>
      </c>
      <c r="V450" s="225"/>
      <c r="W450" s="288">
        <v>1236.3009999999999</v>
      </c>
      <c r="X450" s="289"/>
      <c r="Y450" s="258" t="s">
        <v>538</v>
      </c>
      <c r="Z450" s="240" t="s">
        <v>330</v>
      </c>
      <c r="AA450" s="48">
        <v>1236.3009999999999</v>
      </c>
    </row>
    <row r="451" spans="1:27" s="48" customFormat="1" ht="18" customHeight="1">
      <c r="A451" s="159">
        <v>0</v>
      </c>
      <c r="B451" s="160"/>
      <c r="C451" s="160"/>
      <c r="D451" s="161"/>
      <c r="E451" s="265" t="s">
        <v>320</v>
      </c>
      <c r="F451" s="160"/>
      <c r="G451" s="160"/>
      <c r="H451" s="160"/>
      <c r="I451" s="160"/>
      <c r="J451" s="160"/>
      <c r="K451" s="160"/>
      <c r="L451" s="160"/>
      <c r="M451" s="159" t="s">
        <v>936</v>
      </c>
      <c r="N451" s="160"/>
      <c r="O451" s="160"/>
      <c r="P451" s="160"/>
      <c r="Q451" s="160"/>
      <c r="R451" s="281" t="s">
        <v>255</v>
      </c>
      <c r="S451" s="156" t="s">
        <v>55</v>
      </c>
      <c r="T451" s="157">
        <v>15000</v>
      </c>
      <c r="U451" s="239">
        <v>5.3752212389380528E-2</v>
      </c>
      <c r="V451" s="225"/>
      <c r="W451" s="288">
        <v>806.28399999999999</v>
      </c>
      <c r="X451" s="289"/>
      <c r="Y451" s="258" t="s">
        <v>538</v>
      </c>
      <c r="Z451" s="240" t="s">
        <v>330</v>
      </c>
      <c r="AA451" s="48">
        <v>806.28399999999999</v>
      </c>
    </row>
    <row r="452" spans="1:27" s="48" customFormat="1" ht="18" customHeight="1">
      <c r="A452" s="159">
        <v>0</v>
      </c>
      <c r="B452" s="160"/>
      <c r="C452" s="160"/>
      <c r="D452" s="161"/>
      <c r="E452" s="265" t="s">
        <v>507</v>
      </c>
      <c r="F452" s="160"/>
      <c r="G452" s="160"/>
      <c r="H452" s="160"/>
      <c r="I452" s="160"/>
      <c r="J452" s="160"/>
      <c r="K452" s="160"/>
      <c r="L452" s="160"/>
      <c r="M452" s="159" t="s">
        <v>936</v>
      </c>
      <c r="N452" s="160"/>
      <c r="O452" s="160"/>
      <c r="P452" s="160"/>
      <c r="Q452" s="160"/>
      <c r="R452" s="281" t="s">
        <v>430</v>
      </c>
      <c r="S452" s="156" t="s">
        <v>55</v>
      </c>
      <c r="T452" s="157">
        <v>10500</v>
      </c>
      <c r="U452" s="239">
        <v>3.9637168141592918E-2</v>
      </c>
      <c r="V452" s="225"/>
      <c r="W452" s="288">
        <v>416.19099999999997</v>
      </c>
      <c r="X452" s="289"/>
      <c r="Y452" s="258" t="s">
        <v>538</v>
      </c>
      <c r="Z452" s="240" t="s">
        <v>330</v>
      </c>
      <c r="AA452" s="48">
        <v>416.19099999999997</v>
      </c>
    </row>
    <row r="453" spans="1:27" s="48" customFormat="1" ht="18" customHeight="1">
      <c r="A453" s="159">
        <v>0</v>
      </c>
      <c r="B453" s="160"/>
      <c r="C453" s="160"/>
      <c r="D453" s="161"/>
      <c r="E453" s="265" t="s">
        <v>922</v>
      </c>
      <c r="F453" s="160"/>
      <c r="G453" s="160"/>
      <c r="H453" s="160"/>
      <c r="I453" s="160"/>
      <c r="J453" s="160"/>
      <c r="K453" s="160"/>
      <c r="L453" s="160"/>
      <c r="M453" s="159" t="s">
        <v>936</v>
      </c>
      <c r="N453" s="160"/>
      <c r="O453" s="160"/>
      <c r="P453" s="160"/>
      <c r="Q453" s="160"/>
      <c r="R453" s="281" t="s">
        <v>645</v>
      </c>
      <c r="S453" s="156" t="s">
        <v>55</v>
      </c>
      <c r="T453" s="157">
        <v>7500</v>
      </c>
      <c r="U453" s="239">
        <v>3.9637168141592918E-2</v>
      </c>
      <c r="V453" s="225"/>
      <c r="W453" s="288">
        <v>297.279</v>
      </c>
      <c r="X453" s="289"/>
      <c r="Y453" s="258" t="s">
        <v>538</v>
      </c>
      <c r="Z453" s="240" t="s">
        <v>330</v>
      </c>
      <c r="AA453" s="48">
        <v>297.279</v>
      </c>
    </row>
    <row r="454" spans="1:27" s="48" customFormat="1" ht="18" customHeight="1">
      <c r="A454" s="159">
        <v>0</v>
      </c>
      <c r="B454" s="160"/>
      <c r="C454" s="160"/>
      <c r="D454" s="161"/>
      <c r="E454" s="265" t="s">
        <v>812</v>
      </c>
      <c r="F454" s="160"/>
      <c r="G454" s="160"/>
      <c r="H454" s="160"/>
      <c r="I454" s="160"/>
      <c r="J454" s="160"/>
      <c r="K454" s="160"/>
      <c r="L454" s="160"/>
      <c r="M454" s="368" t="s">
        <v>931</v>
      </c>
      <c r="N454" s="160"/>
      <c r="O454" s="160"/>
      <c r="P454" s="160"/>
      <c r="Q454" s="160"/>
      <c r="R454" s="281" t="s">
        <v>642</v>
      </c>
      <c r="S454" s="156" t="s">
        <v>923</v>
      </c>
      <c r="T454" s="157">
        <v>65000</v>
      </c>
      <c r="U454" s="239">
        <v>9.2920353982300884E-3</v>
      </c>
      <c r="V454" s="225"/>
      <c r="W454" s="288">
        <v>603.98299999999995</v>
      </c>
      <c r="X454" s="289"/>
      <c r="Y454" s="258" t="s">
        <v>538</v>
      </c>
      <c r="Z454" s="240" t="s">
        <v>328</v>
      </c>
      <c r="AA454" s="48">
        <v>603.98299999999995</v>
      </c>
    </row>
    <row r="455" spans="1:27" s="48" customFormat="1" ht="18" customHeight="1">
      <c r="A455" s="159"/>
      <c r="B455" s="160"/>
      <c r="C455" s="160"/>
      <c r="D455" s="161"/>
      <c r="E455" s="265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281"/>
      <c r="S455" s="156"/>
      <c r="T455" s="157"/>
      <c r="U455" s="239"/>
      <c r="V455" s="225"/>
      <c r="W455" s="288">
        <v>0</v>
      </c>
      <c r="X455" s="289"/>
      <c r="Y455" s="258"/>
      <c r="Z455" s="240"/>
    </row>
    <row r="456" spans="1:27" s="48" customFormat="1" ht="18" customHeight="1">
      <c r="A456" s="159"/>
      <c r="B456" s="160"/>
      <c r="C456" s="160"/>
      <c r="D456" s="161"/>
      <c r="E456" s="265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281"/>
      <c r="S456" s="156"/>
      <c r="T456" s="157"/>
      <c r="U456" s="239"/>
      <c r="V456" s="225"/>
      <c r="W456" s="288">
        <v>0</v>
      </c>
      <c r="X456" s="289"/>
      <c r="Y456" s="258"/>
      <c r="Z456" s="240"/>
    </row>
    <row r="457" spans="1:27" s="48" customFormat="1" ht="18" customHeight="1">
      <c r="A457" s="159"/>
      <c r="B457" s="160"/>
      <c r="C457" s="160"/>
      <c r="D457" s="161"/>
      <c r="E457" s="265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281"/>
      <c r="S457" s="156"/>
      <c r="T457" s="157"/>
      <c r="U457" s="239"/>
      <c r="V457" s="225"/>
      <c r="W457" s="288">
        <v>0</v>
      </c>
      <c r="X457" s="289"/>
      <c r="Y457" s="258"/>
      <c r="Z457" s="240"/>
    </row>
    <row r="458" spans="1:27" s="48" customFormat="1" ht="18" customHeight="1">
      <c r="A458" s="159"/>
      <c r="B458" s="160"/>
      <c r="C458" s="160"/>
      <c r="D458" s="161"/>
      <c r="E458" s="265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281"/>
      <c r="S458" s="156"/>
      <c r="T458" s="157"/>
      <c r="U458" s="239"/>
      <c r="V458" s="225"/>
      <c r="W458" s="288">
        <v>0</v>
      </c>
      <c r="X458" s="289"/>
      <c r="Y458" s="258"/>
      <c r="Z458" s="240"/>
    </row>
    <row r="459" spans="1:27" s="48" customFormat="1" ht="18" customHeight="1">
      <c r="A459" s="159"/>
      <c r="B459" s="160"/>
      <c r="C459" s="160"/>
      <c r="D459" s="161"/>
      <c r="E459" s="159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281"/>
      <c r="S459" s="156"/>
      <c r="T459" s="157"/>
      <c r="U459" s="224"/>
      <c r="V459" s="225"/>
      <c r="W459" s="297">
        <v>0</v>
      </c>
      <c r="X459" s="298"/>
      <c r="Y459" s="258"/>
      <c r="Z459" s="226"/>
    </row>
    <row r="460" spans="1:27" s="48" customFormat="1" ht="18" customHeight="1">
      <c r="A460" s="159"/>
      <c r="B460" s="160"/>
      <c r="C460" s="160"/>
      <c r="D460" s="161"/>
      <c r="E460" s="159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282"/>
      <c r="S460" s="156"/>
      <c r="T460" s="157">
        <f>SUM(T24:T459)</f>
        <v>4987866</v>
      </c>
      <c r="U460" s="293"/>
      <c r="V460" s="294"/>
      <c r="W460" s="295">
        <f t="shared" ref="W460:X460" si="0">SUM(W24:X459)</f>
        <v>252037.60869911505</v>
      </c>
      <c r="X460" s="296"/>
      <c r="Y460" s="263"/>
      <c r="Z460" s="208"/>
    </row>
    <row r="461" spans="1:27" ht="18" customHeight="1">
      <c r="A461" s="143"/>
      <c r="B461" s="22"/>
      <c r="C461" s="22"/>
      <c r="D461" s="144"/>
      <c r="E461" s="145"/>
      <c r="F461" s="145"/>
      <c r="G461" s="145"/>
      <c r="H461" s="145"/>
      <c r="I461" s="145"/>
      <c r="J461" s="145"/>
      <c r="K461" s="145"/>
      <c r="L461" s="145"/>
      <c r="M461" s="145"/>
      <c r="N461" s="146"/>
      <c r="O461" s="145"/>
      <c r="P461" s="135"/>
      <c r="Q461" s="145"/>
      <c r="R461" s="147"/>
      <c r="S461" s="148"/>
      <c r="T461" s="148"/>
      <c r="U461" s="148"/>
      <c r="V461" s="148"/>
      <c r="W461" s="148"/>
      <c r="X461" s="149"/>
      <c r="Y461" s="264"/>
      <c r="Z461" s="136"/>
    </row>
    <row r="462" spans="1:27" ht="18" customHeight="1">
      <c r="A462" s="63"/>
      <c r="B462" s="5"/>
      <c r="C462" s="5"/>
      <c r="D462" s="64"/>
      <c r="E462" s="48"/>
      <c r="F462" s="48"/>
      <c r="G462" s="48"/>
      <c r="H462" s="48"/>
      <c r="I462" s="48"/>
      <c r="J462" s="48"/>
      <c r="K462" s="48"/>
      <c r="L462" s="48"/>
      <c r="M462" s="48"/>
      <c r="O462" s="48"/>
      <c r="P462" s="1"/>
      <c r="Q462" s="48"/>
      <c r="S462" s="66"/>
      <c r="T462" s="66"/>
      <c r="U462" s="66"/>
      <c r="V462" s="66"/>
      <c r="W462" s="66"/>
      <c r="X462" s="150"/>
      <c r="Y462" s="150"/>
      <c r="Z462" s="130"/>
    </row>
    <row r="463" spans="1:27" ht="18" customHeight="1">
      <c r="A463" s="63"/>
      <c r="B463" s="5"/>
      <c r="C463" s="5"/>
      <c r="D463" s="64"/>
      <c r="E463" s="48"/>
      <c r="F463" s="48"/>
      <c r="G463" s="48"/>
      <c r="H463" s="48"/>
      <c r="I463" s="48"/>
      <c r="J463" s="48"/>
      <c r="K463" s="48"/>
      <c r="L463" s="48"/>
      <c r="M463" s="48"/>
      <c r="N463" s="66"/>
      <c r="O463" s="48"/>
      <c r="P463" s="1"/>
      <c r="Q463" s="48"/>
      <c r="S463" s="66"/>
      <c r="T463" s="66"/>
      <c r="U463" s="66"/>
      <c r="V463" s="66"/>
      <c r="W463" s="66"/>
      <c r="X463" s="150"/>
      <c r="Y463" s="150"/>
      <c r="Z463" s="130"/>
    </row>
    <row r="464" spans="1:27" ht="18" customHeight="1" thickBot="1">
      <c r="A464" s="63"/>
      <c r="B464" s="5"/>
      <c r="C464" s="5"/>
      <c r="D464" s="64"/>
      <c r="E464" s="48"/>
      <c r="F464" s="48"/>
      <c r="G464" s="48"/>
      <c r="H464" s="48"/>
      <c r="I464" s="48"/>
      <c r="J464" s="48"/>
      <c r="K464" s="48"/>
      <c r="L464" s="48"/>
      <c r="M464" s="48"/>
      <c r="N464" s="66"/>
      <c r="O464" s="67" t="s">
        <v>59</v>
      </c>
      <c r="P464" s="68"/>
      <c r="Q464" s="68"/>
      <c r="R464" s="68"/>
      <c r="S464" s="69"/>
      <c r="T464" s="69"/>
      <c r="U464" s="67"/>
      <c r="V464" s="70"/>
      <c r="W464" s="69"/>
      <c r="X464" s="152"/>
      <c r="Y464" s="150"/>
      <c r="Z464" s="130"/>
    </row>
    <row r="465" spans="1:26" ht="18" customHeight="1">
      <c r="A465" s="63"/>
      <c r="B465" s="5"/>
      <c r="C465" s="5"/>
      <c r="D465" s="64"/>
      <c r="E465" s="48"/>
      <c r="F465" s="48"/>
      <c r="G465" s="48"/>
      <c r="H465" s="48"/>
      <c r="I465" s="48"/>
      <c r="J465" s="48"/>
      <c r="K465" s="48"/>
      <c r="L465" s="48"/>
      <c r="M465" s="48"/>
      <c r="N465" s="66"/>
      <c r="O465" s="66"/>
      <c r="P465" s="1"/>
      <c r="Q465" s="48"/>
      <c r="S465" s="66"/>
      <c r="T465" s="66"/>
      <c r="U465" s="66"/>
      <c r="V465" s="66"/>
      <c r="W465" s="66"/>
      <c r="X465" s="150"/>
      <c r="Y465" s="150"/>
      <c r="Z465" s="130"/>
    </row>
    <row r="466" spans="1:26" ht="18" customHeight="1">
      <c r="A466" s="63"/>
      <c r="B466" s="5"/>
      <c r="C466" s="5"/>
      <c r="D466" s="64"/>
      <c r="E466" s="48"/>
      <c r="F466" s="48"/>
      <c r="G466" s="48"/>
      <c r="H466" s="48"/>
      <c r="I466" s="48"/>
      <c r="J466" s="48"/>
      <c r="K466" s="48"/>
      <c r="L466" s="48"/>
      <c r="M466" s="48"/>
      <c r="N466" s="66"/>
      <c r="O466" s="48"/>
      <c r="P466" s="1"/>
      <c r="Q466" s="48"/>
      <c r="S466" s="66"/>
      <c r="T466" s="66"/>
      <c r="U466" s="66"/>
      <c r="V466" s="66"/>
      <c r="W466" s="66"/>
      <c r="X466" s="150"/>
      <c r="Y466" s="150"/>
      <c r="Z466" s="130"/>
    </row>
    <row r="467" spans="1:26" ht="18" customHeight="1">
      <c r="A467" s="63"/>
      <c r="B467" s="5"/>
      <c r="C467" s="5"/>
      <c r="D467" s="64"/>
      <c r="E467" s="48"/>
      <c r="F467" s="48"/>
      <c r="G467" s="48"/>
      <c r="H467" s="48"/>
      <c r="I467" s="48"/>
      <c r="J467" s="48"/>
      <c r="K467" s="48"/>
      <c r="L467" s="48"/>
      <c r="M467" s="48"/>
      <c r="N467" s="66"/>
      <c r="O467" s="48"/>
      <c r="P467" s="1"/>
      <c r="Q467" s="48"/>
      <c r="S467" s="66"/>
      <c r="T467" s="66"/>
      <c r="U467" s="66"/>
      <c r="V467" s="66"/>
      <c r="W467" s="66"/>
      <c r="X467" s="150"/>
      <c r="Y467" s="150"/>
      <c r="Z467" s="130"/>
    </row>
    <row r="468" spans="1:26" ht="18" customHeight="1">
      <c r="A468" s="71"/>
      <c r="B468" s="72"/>
      <c r="C468" s="73"/>
      <c r="D468" s="73"/>
      <c r="E468" s="72"/>
      <c r="F468" s="72"/>
      <c r="G468" s="72"/>
      <c r="H468" s="72"/>
      <c r="I468" s="72"/>
      <c r="J468" s="72"/>
      <c r="K468" s="72"/>
      <c r="L468" s="72"/>
      <c r="M468" s="72"/>
      <c r="N468" s="74"/>
      <c r="O468" s="72"/>
      <c r="P468" s="75"/>
      <c r="Q468" s="75"/>
      <c r="R468" s="76"/>
      <c r="S468" s="77"/>
      <c r="T468" s="77"/>
      <c r="U468" s="78"/>
      <c r="V468" s="78"/>
      <c r="W468" s="78"/>
      <c r="X468" s="151"/>
      <c r="Y468" s="151"/>
      <c r="Z468" s="142"/>
    </row>
    <row r="469" spans="1:26" ht="18" customHeight="1">
      <c r="A469" s="48"/>
      <c r="B469" s="48"/>
      <c r="C469" s="5"/>
      <c r="D469" s="5"/>
      <c r="E469" s="48"/>
      <c r="F469" s="48"/>
      <c r="G469" s="48"/>
      <c r="H469" s="48"/>
      <c r="I469" s="48"/>
      <c r="J469" s="48"/>
      <c r="K469" s="48"/>
      <c r="L469" s="48"/>
      <c r="M469" s="48"/>
      <c r="O469" s="48"/>
      <c r="Q469" s="79"/>
      <c r="S469" s="80"/>
      <c r="T469" s="80"/>
      <c r="U469" s="81"/>
      <c r="V469" s="81"/>
      <c r="W469" s="81"/>
      <c r="X469" s="82"/>
      <c r="Y469" s="82"/>
    </row>
    <row r="470" spans="1:26" ht="18" customHeight="1">
      <c r="A470" s="48"/>
      <c r="B470" s="48"/>
      <c r="C470" s="5"/>
      <c r="D470" s="5"/>
      <c r="E470" s="48"/>
      <c r="F470" s="48"/>
      <c r="G470" s="48"/>
      <c r="H470" s="48"/>
      <c r="I470" s="48"/>
      <c r="J470" s="48"/>
      <c r="K470" s="48"/>
      <c r="L470" s="48"/>
      <c r="M470" s="48"/>
      <c r="O470" s="48"/>
      <c r="Q470" s="79"/>
      <c r="S470" s="80"/>
      <c r="T470" s="80"/>
      <c r="U470" s="81"/>
      <c r="V470" s="81"/>
      <c r="W470" s="81"/>
      <c r="X470" s="82"/>
      <c r="Y470" s="82"/>
    </row>
    <row r="471" spans="1:26" ht="18" customHeight="1">
      <c r="A471" s="48"/>
      <c r="B471" s="48"/>
      <c r="C471" s="5"/>
      <c r="D471" s="5"/>
      <c r="E471" s="48"/>
      <c r="F471" s="48"/>
      <c r="G471" s="48"/>
      <c r="H471" s="48"/>
      <c r="I471" s="48"/>
      <c r="J471" s="48"/>
      <c r="K471" s="48"/>
      <c r="L471" s="48"/>
      <c r="M471" s="48"/>
      <c r="O471" s="48"/>
      <c r="Q471" s="79"/>
      <c r="S471" s="80"/>
      <c r="T471" s="80"/>
      <c r="U471" s="81"/>
      <c r="V471" s="81"/>
      <c r="W471" s="238"/>
      <c r="X471" s="82"/>
      <c r="Y471" s="82"/>
    </row>
    <row r="472" spans="1:26" ht="18" customHeight="1">
      <c r="A472" s="48"/>
      <c r="B472" s="48"/>
      <c r="C472" s="5"/>
      <c r="D472" s="5"/>
      <c r="E472" s="48"/>
      <c r="F472" s="48"/>
      <c r="G472" s="48"/>
      <c r="H472" s="48"/>
      <c r="I472" s="48"/>
      <c r="J472" s="48"/>
      <c r="K472" s="48"/>
      <c r="L472" s="48"/>
      <c r="M472" s="48"/>
      <c r="O472" s="48"/>
      <c r="Q472" s="79"/>
      <c r="S472" s="80"/>
      <c r="T472" s="80"/>
      <c r="U472" s="81"/>
      <c r="V472" s="81"/>
      <c r="W472" s="81"/>
      <c r="X472" s="82"/>
      <c r="Y472" s="82"/>
    </row>
    <row r="473" spans="1:26" ht="18" customHeight="1">
      <c r="A473" s="48"/>
      <c r="B473" s="48"/>
      <c r="C473" s="5"/>
      <c r="D473" s="5"/>
      <c r="E473" s="48"/>
      <c r="F473" s="48"/>
      <c r="G473" s="48"/>
      <c r="H473" s="48"/>
      <c r="I473" s="48"/>
      <c r="J473" s="48"/>
      <c r="K473" s="48"/>
      <c r="L473" s="48"/>
      <c r="M473" s="48"/>
      <c r="O473" s="48"/>
      <c r="Q473" s="79"/>
      <c r="S473" s="80"/>
      <c r="T473" s="80"/>
      <c r="U473" s="81"/>
      <c r="V473" s="81"/>
      <c r="W473" s="81"/>
      <c r="X473" s="82"/>
      <c r="Y473" s="82"/>
    </row>
    <row r="474" spans="1:26" s="3" customFormat="1" ht="18" customHeight="1">
      <c r="A474" s="48"/>
      <c r="B474" s="48"/>
      <c r="C474" s="5"/>
      <c r="D474" s="5"/>
      <c r="E474" s="48"/>
      <c r="F474" s="48"/>
      <c r="G474" s="48"/>
      <c r="H474" s="48"/>
      <c r="I474" s="48"/>
      <c r="J474" s="48"/>
      <c r="K474" s="48"/>
      <c r="L474" s="48"/>
      <c r="M474" s="48"/>
      <c r="N474" s="65"/>
      <c r="O474" s="48"/>
      <c r="P474" s="79"/>
      <c r="Q474" s="79"/>
      <c r="R474" s="49"/>
      <c r="S474" s="80"/>
      <c r="T474" s="80"/>
      <c r="U474" s="81"/>
      <c r="V474" s="81"/>
      <c r="W474" s="81"/>
      <c r="X474" s="82"/>
      <c r="Y474" s="82"/>
    </row>
    <row r="475" spans="1:26" s="3" customFormat="1" ht="18" customHeight="1">
      <c r="A475" s="48"/>
      <c r="B475" s="48"/>
      <c r="C475" s="5"/>
      <c r="D475" s="5"/>
      <c r="E475" s="48"/>
      <c r="F475" s="48"/>
      <c r="G475" s="48"/>
      <c r="H475" s="48"/>
      <c r="I475" s="48"/>
      <c r="J475" s="48"/>
      <c r="K475" s="48"/>
      <c r="L475" s="48"/>
      <c r="M475" s="48"/>
      <c r="N475" s="65"/>
      <c r="O475" s="48"/>
      <c r="P475" s="79"/>
      <c r="Q475" s="79"/>
      <c r="R475" s="49"/>
      <c r="S475" s="80"/>
      <c r="T475" s="80"/>
      <c r="U475" s="81"/>
      <c r="V475" s="81"/>
      <c r="W475" s="81"/>
      <c r="X475" s="82"/>
      <c r="Y475" s="82"/>
    </row>
    <row r="476" spans="1:26" s="3" customFormat="1" ht="18" customHeight="1">
      <c r="A476" s="48"/>
      <c r="B476" s="48"/>
      <c r="C476" s="5"/>
      <c r="D476" s="5"/>
      <c r="E476" s="48"/>
      <c r="F476" s="48"/>
      <c r="G476" s="48"/>
      <c r="H476" s="48"/>
      <c r="I476" s="48"/>
      <c r="J476" s="48"/>
      <c r="K476" s="48"/>
      <c r="L476" s="48"/>
      <c r="M476" s="48"/>
      <c r="N476" s="65"/>
      <c r="O476" s="48"/>
      <c r="P476" s="79"/>
      <c r="Q476" s="79"/>
      <c r="R476" s="49"/>
      <c r="S476" s="80"/>
      <c r="T476" s="80"/>
      <c r="U476" s="81"/>
      <c r="V476" s="81"/>
      <c r="W476" s="81"/>
      <c r="X476" s="82"/>
      <c r="Y476" s="82"/>
    </row>
    <row r="477" spans="1:26" s="3" customFormat="1" ht="18" customHeight="1">
      <c r="A477" s="48"/>
      <c r="B477" s="48"/>
      <c r="C477" s="5"/>
      <c r="D477" s="5"/>
      <c r="E477" s="48"/>
      <c r="F477" s="48"/>
      <c r="G477" s="48"/>
      <c r="H477" s="48"/>
      <c r="I477" s="48"/>
      <c r="J477" s="48"/>
      <c r="K477" s="48"/>
      <c r="L477" s="48"/>
      <c r="M477" s="48"/>
      <c r="N477" s="65"/>
      <c r="O477" s="48"/>
      <c r="P477" s="79"/>
      <c r="Q477" s="79"/>
      <c r="R477" s="49"/>
      <c r="S477" s="80"/>
      <c r="T477" s="80"/>
      <c r="U477" s="81"/>
      <c r="V477" s="81"/>
      <c r="W477" s="81"/>
      <c r="X477" s="82"/>
      <c r="Y477" s="82"/>
    </row>
    <row r="478" spans="1:26" s="3" customFormat="1" ht="18" customHeight="1">
      <c r="A478" s="48"/>
      <c r="B478" s="48"/>
      <c r="C478" s="5"/>
      <c r="D478" s="5"/>
      <c r="E478" s="48"/>
      <c r="F478" s="48"/>
      <c r="G478" s="48"/>
      <c r="H478" s="48"/>
      <c r="I478" s="48"/>
      <c r="J478" s="48"/>
      <c r="K478" s="48"/>
      <c r="L478" s="48"/>
      <c r="M478" s="48"/>
      <c r="N478" s="65"/>
      <c r="O478" s="48"/>
      <c r="P478" s="79"/>
      <c r="Q478" s="79"/>
      <c r="R478" s="49"/>
      <c r="S478" s="80"/>
      <c r="T478" s="80"/>
      <c r="U478" s="81"/>
      <c r="V478" s="81"/>
      <c r="W478" s="81"/>
      <c r="X478" s="82"/>
      <c r="Y478" s="82"/>
    </row>
    <row r="479" spans="1:26" s="3" customFormat="1" ht="18" customHeight="1">
      <c r="A479" s="48"/>
      <c r="B479" s="48"/>
      <c r="C479" s="5"/>
      <c r="D479" s="5"/>
      <c r="E479" s="48"/>
      <c r="F479" s="48"/>
      <c r="G479" s="48"/>
      <c r="H479" s="48"/>
      <c r="I479" s="48"/>
      <c r="J479" s="48"/>
      <c r="K479" s="48"/>
      <c r="L479" s="48"/>
      <c r="M479" s="48"/>
      <c r="N479" s="65"/>
      <c r="O479" s="48"/>
      <c r="P479" s="79"/>
      <c r="Q479" s="79"/>
      <c r="R479" s="49"/>
      <c r="S479" s="80"/>
      <c r="T479" s="80"/>
      <c r="U479" s="81"/>
      <c r="V479" s="81"/>
      <c r="W479" s="81"/>
      <c r="X479" s="82"/>
      <c r="Y479" s="82"/>
    </row>
    <row r="480" spans="1:26" s="3" customFormat="1" ht="18" customHeight="1">
      <c r="A480" s="48"/>
      <c r="B480" s="48"/>
      <c r="C480" s="5"/>
      <c r="D480" s="5"/>
      <c r="E480" s="48"/>
      <c r="F480" s="48"/>
      <c r="G480" s="48"/>
      <c r="H480" s="48"/>
      <c r="I480" s="48"/>
      <c r="J480" s="48"/>
      <c r="K480" s="48"/>
      <c r="L480" s="48"/>
      <c r="M480" s="48"/>
      <c r="N480" s="65"/>
      <c r="O480" s="48"/>
      <c r="P480" s="79"/>
      <c r="Q480" s="79"/>
      <c r="R480" s="49"/>
      <c r="S480" s="80"/>
      <c r="T480" s="80"/>
      <c r="U480" s="81"/>
      <c r="V480" s="81"/>
      <c r="W480" s="81"/>
      <c r="X480" s="82"/>
      <c r="Y480" s="82"/>
    </row>
    <row r="481" spans="1:25" s="3" customFormat="1" ht="18" customHeight="1">
      <c r="A481" s="48"/>
      <c r="B481" s="48"/>
      <c r="C481" s="5"/>
      <c r="D481" s="5"/>
      <c r="E481" s="48"/>
      <c r="F481" s="48"/>
      <c r="G481" s="48"/>
      <c r="H481" s="48"/>
      <c r="I481" s="48"/>
      <c r="J481" s="48"/>
      <c r="K481" s="48"/>
      <c r="L481" s="48"/>
      <c r="M481" s="48"/>
      <c r="N481" s="65"/>
      <c r="O481" s="48"/>
      <c r="P481" s="79"/>
      <c r="Q481" s="79"/>
      <c r="R481" s="49"/>
      <c r="S481" s="80"/>
      <c r="T481" s="80"/>
      <c r="U481" s="81"/>
      <c r="V481" s="81"/>
      <c r="W481" s="81"/>
      <c r="X481" s="82"/>
      <c r="Y481" s="82"/>
    </row>
    <row r="482" spans="1:25" s="3" customFormat="1" ht="18" customHeight="1">
      <c r="A482" s="48"/>
      <c r="B482" s="48"/>
      <c r="C482" s="5"/>
      <c r="D482" s="5"/>
      <c r="E482" s="48"/>
      <c r="F482" s="48"/>
      <c r="G482" s="48"/>
      <c r="H482" s="48"/>
      <c r="I482" s="48"/>
      <c r="J482" s="48"/>
      <c r="K482" s="48"/>
      <c r="L482" s="48"/>
      <c r="M482" s="48"/>
      <c r="N482" s="65"/>
      <c r="O482" s="48"/>
      <c r="P482" s="79"/>
      <c r="Q482" s="79"/>
      <c r="R482" s="49"/>
      <c r="S482" s="80"/>
      <c r="T482" s="80"/>
      <c r="U482" s="81"/>
      <c r="V482" s="81"/>
      <c r="W482" s="81"/>
      <c r="X482" s="82"/>
      <c r="Y482" s="82"/>
    </row>
    <row r="483" spans="1:25" s="3" customFormat="1" ht="18" customHeight="1">
      <c r="A483" s="48"/>
      <c r="B483" s="48"/>
      <c r="C483" s="5"/>
      <c r="D483" s="5"/>
      <c r="E483" s="48"/>
      <c r="F483" s="48"/>
      <c r="G483" s="48"/>
      <c r="H483" s="48"/>
      <c r="I483" s="48"/>
      <c r="J483" s="48"/>
      <c r="K483" s="48"/>
      <c r="L483" s="48"/>
      <c r="M483" s="48"/>
      <c r="N483" s="65"/>
      <c r="O483" s="48"/>
      <c r="P483" s="79"/>
      <c r="Q483" s="79"/>
      <c r="R483" s="49"/>
      <c r="S483" s="80"/>
      <c r="T483" s="80"/>
      <c r="U483" s="81"/>
      <c r="V483" s="81"/>
      <c r="W483" s="81"/>
      <c r="X483" s="82"/>
      <c r="Y483" s="82"/>
    </row>
    <row r="484" spans="1:25" s="3" customFormat="1" ht="18" customHeight="1">
      <c r="A484" s="48"/>
      <c r="B484" s="48"/>
      <c r="C484" s="5"/>
      <c r="D484" s="5"/>
      <c r="E484" s="48"/>
      <c r="F484" s="48"/>
      <c r="G484" s="48"/>
      <c r="H484" s="48"/>
      <c r="I484" s="48"/>
      <c r="J484" s="48"/>
      <c r="K484" s="48"/>
      <c r="L484" s="48"/>
      <c r="M484" s="48"/>
      <c r="N484" s="65"/>
      <c r="O484" s="48"/>
      <c r="P484" s="79"/>
      <c r="Q484" s="79"/>
      <c r="R484" s="49"/>
      <c r="S484" s="80"/>
      <c r="T484" s="80"/>
      <c r="U484" s="81"/>
      <c r="V484" s="81"/>
      <c r="W484" s="81"/>
      <c r="X484" s="82"/>
      <c r="Y484" s="82"/>
    </row>
    <row r="485" spans="1:25" s="3" customFormat="1" ht="18" customHeight="1">
      <c r="A485" s="48"/>
      <c r="B485" s="48"/>
      <c r="C485" s="5"/>
      <c r="D485" s="5"/>
      <c r="E485" s="48"/>
      <c r="F485" s="48"/>
      <c r="G485" s="48"/>
      <c r="H485" s="48"/>
      <c r="I485" s="48"/>
      <c r="J485" s="48"/>
      <c r="K485" s="48"/>
      <c r="L485" s="48"/>
      <c r="M485" s="48"/>
      <c r="N485" s="65"/>
      <c r="O485" s="48"/>
      <c r="P485" s="79"/>
      <c r="Q485" s="79"/>
      <c r="R485" s="49"/>
      <c r="S485" s="80"/>
      <c r="T485" s="80"/>
      <c r="U485" s="81"/>
      <c r="V485" s="81"/>
      <c r="W485" s="81"/>
      <c r="X485" s="82"/>
      <c r="Y485" s="82"/>
    </row>
    <row r="486" spans="1:25" s="3" customFormat="1" ht="18" customHeight="1">
      <c r="A486" s="48"/>
      <c r="B486" s="48"/>
      <c r="C486" s="5"/>
      <c r="D486" s="5"/>
      <c r="E486" s="48"/>
      <c r="F486" s="48"/>
      <c r="G486" s="48"/>
      <c r="H486" s="48"/>
      <c r="I486" s="48"/>
      <c r="J486" s="48"/>
      <c r="K486" s="48"/>
      <c r="L486" s="48"/>
      <c r="M486" s="48"/>
      <c r="N486" s="65"/>
      <c r="O486" s="48"/>
      <c r="P486" s="79"/>
      <c r="Q486" s="79"/>
      <c r="R486" s="49"/>
      <c r="S486" s="80"/>
      <c r="T486" s="80"/>
      <c r="U486" s="81"/>
      <c r="V486" s="81"/>
      <c r="W486" s="81"/>
      <c r="X486" s="82"/>
      <c r="Y486" s="82"/>
    </row>
    <row r="487" spans="1:25" s="3" customFormat="1" ht="18" customHeight="1">
      <c r="A487" s="48"/>
      <c r="B487" s="48"/>
      <c r="C487" s="5"/>
      <c r="D487" s="5"/>
      <c r="E487" s="48"/>
      <c r="F487" s="48"/>
      <c r="G487" s="48"/>
      <c r="H487" s="48"/>
      <c r="I487" s="48"/>
      <c r="J487" s="48"/>
      <c r="K487" s="48"/>
      <c r="L487" s="48"/>
      <c r="M487" s="48"/>
      <c r="N487" s="65"/>
      <c r="O487" s="48"/>
      <c r="P487" s="79"/>
      <c r="Q487" s="79"/>
      <c r="R487" s="49"/>
      <c r="S487" s="80"/>
      <c r="T487" s="80"/>
      <c r="U487" s="81"/>
      <c r="V487" s="81"/>
      <c r="W487" s="81"/>
      <c r="X487" s="82"/>
      <c r="Y487" s="82"/>
    </row>
    <row r="488" spans="1:25" s="3" customFormat="1" ht="18" customHeight="1">
      <c r="A488" s="48"/>
      <c r="B488" s="48"/>
      <c r="C488" s="5"/>
      <c r="D488" s="5"/>
      <c r="E488" s="48"/>
      <c r="F488" s="48"/>
      <c r="G488" s="48"/>
      <c r="H488" s="48"/>
      <c r="I488" s="48"/>
      <c r="J488" s="48"/>
      <c r="K488" s="48"/>
      <c r="L488" s="48"/>
      <c r="M488" s="48"/>
      <c r="N488" s="65"/>
      <c r="O488" s="48"/>
      <c r="P488" s="79"/>
      <c r="Q488" s="79"/>
      <c r="R488" s="49"/>
      <c r="S488" s="80"/>
      <c r="T488" s="80"/>
      <c r="U488" s="81"/>
      <c r="V488" s="81"/>
      <c r="W488" s="81"/>
      <c r="X488" s="82"/>
      <c r="Y488" s="82"/>
    </row>
    <row r="489" spans="1:25" s="3" customFormat="1" ht="18" customHeight="1">
      <c r="A489" s="48"/>
      <c r="B489" s="48"/>
      <c r="C489" s="5"/>
      <c r="D489" s="5"/>
      <c r="E489" s="48"/>
      <c r="F489" s="48"/>
      <c r="G489" s="48"/>
      <c r="H489" s="48"/>
      <c r="I489" s="48"/>
      <c r="J489" s="48"/>
      <c r="K489" s="48"/>
      <c r="L489" s="48"/>
      <c r="M489" s="48"/>
      <c r="N489" s="65"/>
      <c r="O489" s="48"/>
      <c r="P489" s="79"/>
      <c r="Q489" s="79"/>
      <c r="R489" s="49"/>
      <c r="S489" s="80"/>
      <c r="T489" s="80"/>
      <c r="U489" s="81"/>
      <c r="V489" s="81"/>
      <c r="W489" s="81"/>
      <c r="X489" s="82"/>
      <c r="Y489" s="82"/>
    </row>
    <row r="490" spans="1:25" s="3" customFormat="1" ht="18" customHeight="1">
      <c r="A490" s="48"/>
      <c r="B490" s="48"/>
      <c r="C490" s="5"/>
      <c r="D490" s="5"/>
      <c r="E490" s="48"/>
      <c r="F490" s="48"/>
      <c r="G490" s="48"/>
      <c r="H490" s="48"/>
      <c r="I490" s="48"/>
      <c r="J490" s="48"/>
      <c r="K490" s="48"/>
      <c r="L490" s="48"/>
      <c r="M490" s="48"/>
      <c r="N490" s="65"/>
      <c r="O490" s="48"/>
      <c r="P490" s="79"/>
      <c r="Q490" s="79"/>
      <c r="R490" s="49"/>
      <c r="S490" s="80"/>
      <c r="T490" s="80"/>
      <c r="U490" s="81"/>
      <c r="V490" s="81"/>
      <c r="W490" s="81"/>
      <c r="X490" s="82"/>
      <c r="Y490" s="82"/>
    </row>
    <row r="491" spans="1:25" s="3" customFormat="1" ht="18" customHeight="1">
      <c r="A491" s="48"/>
      <c r="B491" s="48"/>
      <c r="C491" s="5"/>
      <c r="D491" s="5"/>
      <c r="E491" s="48"/>
      <c r="F491" s="48"/>
      <c r="G491" s="48"/>
      <c r="H491" s="48"/>
      <c r="I491" s="48"/>
      <c r="J491" s="48"/>
      <c r="K491" s="48"/>
      <c r="L491" s="48"/>
      <c r="M491" s="48"/>
      <c r="N491" s="65"/>
      <c r="O491" s="48"/>
      <c r="P491" s="79"/>
      <c r="Q491" s="79"/>
      <c r="R491" s="49"/>
      <c r="S491" s="80"/>
      <c r="T491" s="80"/>
      <c r="U491" s="81"/>
      <c r="V491" s="81"/>
      <c r="W491" s="81"/>
      <c r="X491" s="82"/>
      <c r="Y491" s="82"/>
    </row>
    <row r="492" spans="1:25" s="3" customFormat="1" ht="18" customHeight="1">
      <c r="A492" s="48"/>
      <c r="B492" s="48"/>
      <c r="C492" s="5"/>
      <c r="D492" s="5"/>
      <c r="E492" s="48"/>
      <c r="F492" s="48"/>
      <c r="G492" s="48"/>
      <c r="H492" s="48"/>
      <c r="I492" s="48"/>
      <c r="J492" s="48"/>
      <c r="K492" s="48"/>
      <c r="L492" s="48"/>
      <c r="M492" s="48"/>
      <c r="N492" s="65"/>
      <c r="O492" s="48"/>
      <c r="P492" s="79"/>
      <c r="Q492" s="79"/>
      <c r="R492" s="49"/>
      <c r="S492" s="80"/>
      <c r="T492" s="80"/>
      <c r="U492" s="81"/>
      <c r="V492" s="81"/>
      <c r="W492" s="81"/>
      <c r="X492" s="82"/>
      <c r="Y492" s="82"/>
    </row>
    <row r="493" spans="1:25" s="3" customFormat="1" ht="18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65"/>
      <c r="O493" s="1"/>
      <c r="P493" s="79"/>
      <c r="Q493" s="1"/>
      <c r="R493" s="49"/>
      <c r="S493" s="1"/>
      <c r="T493" s="1"/>
      <c r="U493" s="83"/>
      <c r="V493" s="84"/>
      <c r="W493" s="1"/>
      <c r="X493" s="85"/>
      <c r="Y493" s="85"/>
    </row>
    <row r="494" spans="1:25" s="3" customFormat="1" ht="18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65"/>
      <c r="O494" s="1"/>
      <c r="P494" s="79"/>
      <c r="Q494" s="1"/>
      <c r="R494" s="49"/>
      <c r="S494" s="1"/>
      <c r="T494" s="1"/>
      <c r="U494" s="83"/>
      <c r="V494" s="84"/>
      <c r="W494" s="1"/>
      <c r="X494" s="85"/>
      <c r="Y494" s="85"/>
    </row>
    <row r="495" spans="1:25" s="3" customFormat="1" ht="18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65"/>
      <c r="O495" s="1"/>
      <c r="P495" s="79"/>
      <c r="Q495" s="1"/>
      <c r="R495" s="49"/>
      <c r="S495" s="1"/>
      <c r="T495" s="1"/>
      <c r="U495" s="83"/>
      <c r="V495" s="84"/>
      <c r="W495" s="1"/>
      <c r="X495" s="85"/>
      <c r="Y495" s="85"/>
    </row>
    <row r="496" spans="1:25" s="3" customFormat="1" ht="18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65"/>
      <c r="O496" s="1"/>
      <c r="P496" s="79"/>
      <c r="Q496" s="1"/>
      <c r="R496" s="49"/>
      <c r="S496" s="1"/>
      <c r="T496" s="1"/>
      <c r="U496" s="83"/>
      <c r="V496" s="84"/>
      <c r="W496" s="1"/>
      <c r="X496" s="85"/>
      <c r="Y496" s="85"/>
    </row>
    <row r="497" spans="1:26" s="3" customFormat="1" ht="18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65"/>
      <c r="O497" s="1"/>
      <c r="P497" s="79"/>
      <c r="Q497" s="1"/>
      <c r="R497" s="49"/>
      <c r="S497" s="1"/>
      <c r="T497" s="1"/>
      <c r="U497" s="83"/>
      <c r="V497" s="84"/>
      <c r="W497" s="1"/>
      <c r="X497" s="85"/>
      <c r="Y497" s="85"/>
    </row>
    <row r="498" spans="1:26" s="3" customFormat="1" ht="1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65"/>
      <c r="O498" s="1"/>
      <c r="P498" s="79"/>
      <c r="Q498" s="1"/>
      <c r="R498" s="49"/>
      <c r="S498" s="1"/>
      <c r="T498" s="1"/>
      <c r="U498" s="83"/>
      <c r="V498" s="84"/>
      <c r="W498" s="1"/>
      <c r="X498" s="85"/>
      <c r="Y498" s="85"/>
    </row>
    <row r="499" spans="1:26" s="3" customFormat="1" ht="18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65"/>
      <c r="O499" s="1"/>
      <c r="P499" s="79"/>
      <c r="Q499" s="1"/>
      <c r="R499" s="49"/>
      <c r="S499" s="1"/>
      <c r="T499" s="1"/>
      <c r="U499" s="83"/>
      <c r="V499" s="84"/>
      <c r="W499" s="1"/>
      <c r="X499" s="85"/>
      <c r="Y499" s="85"/>
    </row>
    <row r="500" spans="1:26" s="3" customFormat="1" ht="18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65"/>
      <c r="O500" s="1"/>
      <c r="P500" s="79"/>
      <c r="Q500" s="1"/>
      <c r="R500" s="49"/>
      <c r="S500" s="1"/>
      <c r="T500" s="1"/>
      <c r="U500" s="83"/>
      <c r="V500" s="84"/>
      <c r="W500" s="1"/>
      <c r="X500" s="85"/>
      <c r="Y500" s="85"/>
    </row>
    <row r="501" spans="1:26" s="3" customForma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65"/>
      <c r="O501" s="1"/>
      <c r="P501" s="79"/>
      <c r="Q501" s="1"/>
      <c r="R501" s="49"/>
      <c r="S501" s="1"/>
      <c r="T501" s="1"/>
      <c r="U501" s="83"/>
      <c r="V501" s="84"/>
      <c r="W501" s="1"/>
      <c r="X501" s="85"/>
      <c r="Y501" s="85"/>
    </row>
    <row r="502" spans="1:26" s="3" customForma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65"/>
      <c r="O502" s="1"/>
      <c r="P502" s="79"/>
      <c r="Q502" s="1"/>
      <c r="R502" s="49"/>
      <c r="S502" s="1"/>
      <c r="T502" s="1"/>
      <c r="U502" s="83"/>
      <c r="V502" s="84"/>
      <c r="W502" s="1"/>
      <c r="X502" s="85"/>
      <c r="Y502" s="85"/>
    </row>
    <row r="503" spans="1:26" s="3" customForma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65"/>
      <c r="O503" s="1"/>
      <c r="P503" s="79"/>
      <c r="Q503" s="1"/>
      <c r="R503" s="49"/>
      <c r="S503" s="1"/>
      <c r="T503" s="1"/>
      <c r="U503" s="83"/>
      <c r="V503" s="84"/>
      <c r="W503" s="1"/>
      <c r="X503" s="85"/>
      <c r="Y503" s="85"/>
    </row>
    <row r="504" spans="1:26" s="3" customForma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65"/>
      <c r="O504" s="1"/>
      <c r="P504" s="79"/>
      <c r="Q504" s="1"/>
      <c r="R504" s="49"/>
      <c r="S504" s="1"/>
      <c r="T504" s="1"/>
      <c r="U504" s="83"/>
      <c r="V504" s="84"/>
      <c r="W504" s="1"/>
      <c r="X504" s="85"/>
      <c r="Y504" s="85"/>
    </row>
    <row r="505" spans="1:26" s="3" customForma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65"/>
      <c r="O505" s="1"/>
      <c r="P505" s="79"/>
      <c r="Q505" s="1"/>
      <c r="R505" s="49"/>
      <c r="S505" s="1"/>
      <c r="T505" s="1"/>
      <c r="U505" s="83"/>
      <c r="V505" s="84"/>
      <c r="W505" s="1"/>
      <c r="X505" s="85"/>
      <c r="Y505" s="85"/>
    </row>
    <row r="506" spans="1:26" s="85" customForma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65"/>
      <c r="O506" s="1"/>
      <c r="P506" s="79"/>
      <c r="Q506" s="1"/>
      <c r="R506" s="49"/>
      <c r="S506" s="1"/>
      <c r="T506" s="1"/>
      <c r="U506" s="83"/>
      <c r="V506" s="84"/>
      <c r="W506" s="1"/>
      <c r="Z506" s="3"/>
    </row>
    <row r="507" spans="1:26" s="85" customForma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65"/>
      <c r="O507" s="1"/>
      <c r="P507" s="79"/>
      <c r="Q507" s="1"/>
      <c r="R507" s="49"/>
      <c r="S507" s="1"/>
      <c r="T507" s="1"/>
      <c r="U507" s="83"/>
      <c r="V507" s="84"/>
      <c r="W507" s="1"/>
      <c r="Z507" s="3"/>
    </row>
    <row r="508" spans="1:26" s="85" customForma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65"/>
      <c r="O508" s="1"/>
      <c r="P508" s="79"/>
      <c r="Q508" s="1"/>
      <c r="R508" s="49"/>
      <c r="S508" s="1"/>
      <c r="T508" s="1"/>
      <c r="U508" s="83"/>
      <c r="V508" s="84"/>
      <c r="W508" s="1"/>
      <c r="Z508" s="3"/>
    </row>
    <row r="509" spans="1:26" s="85" customForma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65"/>
      <c r="O509" s="1"/>
      <c r="P509" s="79"/>
      <c r="Q509" s="1"/>
      <c r="R509" s="49"/>
      <c r="S509" s="1"/>
      <c r="T509" s="1"/>
      <c r="U509" s="83"/>
      <c r="V509" s="84"/>
      <c r="W509" s="1"/>
      <c r="Z509" s="3"/>
    </row>
    <row r="510" spans="1:26" s="85" customForma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65"/>
      <c r="O510" s="1"/>
      <c r="P510" s="79"/>
      <c r="Q510" s="1"/>
      <c r="R510" s="49"/>
      <c r="S510" s="1"/>
      <c r="T510" s="1"/>
      <c r="U510" s="83"/>
      <c r="V510" s="84"/>
      <c r="W510" s="1"/>
      <c r="Z510" s="3"/>
    </row>
    <row r="511" spans="1:26" s="85" customForma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65"/>
      <c r="O511" s="1"/>
      <c r="P511" s="79"/>
      <c r="Q511" s="1"/>
      <c r="R511" s="49"/>
      <c r="S511" s="1"/>
      <c r="T511" s="1"/>
      <c r="U511" s="83"/>
      <c r="V511" s="84"/>
      <c r="W511" s="1"/>
      <c r="Z511" s="3"/>
    </row>
    <row r="512" spans="1:26" s="85" customForma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65"/>
      <c r="O512" s="1"/>
      <c r="P512" s="79"/>
      <c r="Q512" s="1"/>
      <c r="R512" s="49"/>
      <c r="S512" s="1"/>
      <c r="T512" s="1"/>
      <c r="U512" s="83"/>
      <c r="V512" s="84"/>
      <c r="W512" s="1"/>
      <c r="Z512" s="3"/>
    </row>
    <row r="513" spans="1:26" s="85" customForma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65"/>
      <c r="O513" s="1"/>
      <c r="P513" s="79"/>
      <c r="Q513" s="1"/>
      <c r="R513" s="49"/>
      <c r="S513" s="1"/>
      <c r="T513" s="1"/>
      <c r="U513" s="83"/>
      <c r="V513" s="84"/>
      <c r="W513" s="1"/>
      <c r="Z513" s="3"/>
    </row>
    <row r="514" spans="1:26" s="85" customForma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65"/>
      <c r="O514" s="1"/>
      <c r="P514" s="79"/>
      <c r="Q514" s="1"/>
      <c r="R514" s="49"/>
      <c r="S514" s="1"/>
      <c r="T514" s="1"/>
      <c r="U514" s="83"/>
      <c r="V514" s="84"/>
      <c r="W514" s="1"/>
      <c r="Z514" s="3"/>
    </row>
    <row r="515" spans="1:26" s="85" customForma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65"/>
      <c r="O515" s="1"/>
      <c r="P515" s="79"/>
      <c r="Q515" s="1"/>
      <c r="R515" s="49"/>
      <c r="S515" s="1"/>
      <c r="T515" s="1"/>
      <c r="U515" s="83"/>
      <c r="V515" s="84"/>
      <c r="W515" s="1"/>
      <c r="Z515" s="3"/>
    </row>
    <row r="516" spans="1:26" s="85" customForma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65"/>
      <c r="O516" s="1"/>
      <c r="P516" s="79"/>
      <c r="Q516" s="1"/>
      <c r="R516" s="49"/>
      <c r="S516" s="1"/>
      <c r="T516" s="1"/>
      <c r="U516" s="83"/>
      <c r="V516" s="84"/>
      <c r="W516" s="1"/>
      <c r="Z516" s="3"/>
    </row>
    <row r="517" spans="1:26" s="85" customForma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65"/>
      <c r="O517" s="1"/>
      <c r="P517" s="79"/>
      <c r="Q517" s="1"/>
      <c r="R517" s="49"/>
      <c r="S517" s="1"/>
      <c r="T517" s="1"/>
      <c r="U517" s="83"/>
      <c r="V517" s="84"/>
      <c r="W517" s="1"/>
      <c r="Z517" s="3"/>
    </row>
    <row r="518" spans="1:26" s="85" customForma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65"/>
      <c r="O518" s="1"/>
      <c r="P518" s="79"/>
      <c r="Q518" s="1"/>
      <c r="R518" s="49"/>
      <c r="S518" s="1"/>
      <c r="T518" s="1"/>
      <c r="U518" s="83"/>
      <c r="V518" s="84"/>
      <c r="W518" s="1"/>
      <c r="Z518" s="3"/>
    </row>
    <row r="519" spans="1:26" s="85" customForma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65"/>
      <c r="O519" s="1"/>
      <c r="P519" s="79"/>
      <c r="Q519" s="1"/>
      <c r="R519" s="49"/>
      <c r="S519" s="1"/>
      <c r="T519" s="1"/>
      <c r="U519" s="83"/>
      <c r="V519" s="84"/>
      <c r="W519" s="1"/>
      <c r="Z519" s="3"/>
    </row>
    <row r="520" spans="1:26" s="85" customForma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65"/>
      <c r="O520" s="1"/>
      <c r="P520" s="79"/>
      <c r="Q520" s="1"/>
      <c r="R520" s="49"/>
      <c r="S520" s="1"/>
      <c r="T520" s="1"/>
      <c r="U520" s="83"/>
      <c r="V520" s="84"/>
      <c r="W520" s="1"/>
      <c r="Z520" s="3"/>
    </row>
    <row r="521" spans="1:26" s="85" customForma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65"/>
      <c r="O521" s="1"/>
      <c r="P521" s="79"/>
      <c r="Q521" s="1"/>
      <c r="R521" s="49"/>
      <c r="S521" s="1"/>
      <c r="T521" s="1"/>
      <c r="U521" s="83"/>
      <c r="V521" s="84"/>
      <c r="W521" s="1"/>
      <c r="Z521" s="3"/>
    </row>
    <row r="522" spans="1:26" s="85" customForma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65"/>
      <c r="O522" s="1"/>
      <c r="P522" s="79"/>
      <c r="Q522" s="1"/>
      <c r="R522" s="49"/>
      <c r="S522" s="1"/>
      <c r="T522" s="1"/>
      <c r="U522" s="83"/>
      <c r="V522" s="84"/>
      <c r="W522" s="1"/>
      <c r="Z522" s="3"/>
    </row>
    <row r="523" spans="1:26" s="85" customForma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65"/>
      <c r="O523" s="1"/>
      <c r="P523" s="79"/>
      <c r="Q523" s="1"/>
      <c r="R523" s="49"/>
      <c r="S523" s="1"/>
      <c r="T523" s="1"/>
      <c r="U523" s="83"/>
      <c r="V523" s="84"/>
      <c r="W523" s="1"/>
      <c r="Z523" s="3"/>
    </row>
    <row r="524" spans="1:26" s="85" customForma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65"/>
      <c r="O524" s="1"/>
      <c r="P524" s="79"/>
      <c r="Q524" s="1"/>
      <c r="R524" s="49"/>
      <c r="S524" s="1"/>
      <c r="T524" s="1"/>
      <c r="U524" s="83"/>
      <c r="V524" s="84"/>
      <c r="W524" s="1"/>
      <c r="Z524" s="3"/>
    </row>
    <row r="525" spans="1:26" s="85" customForma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65"/>
      <c r="O525" s="1"/>
      <c r="P525" s="79"/>
      <c r="Q525" s="1"/>
      <c r="R525" s="49"/>
      <c r="S525" s="1"/>
      <c r="T525" s="1"/>
      <c r="U525" s="83"/>
      <c r="V525" s="84"/>
      <c r="W525" s="1"/>
      <c r="Z525" s="3"/>
    </row>
    <row r="526" spans="1:26" s="85" customForma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65"/>
      <c r="O526" s="1"/>
      <c r="P526" s="79"/>
      <c r="Q526" s="1"/>
      <c r="R526" s="49"/>
      <c r="S526" s="1"/>
      <c r="T526" s="1"/>
      <c r="U526" s="83"/>
      <c r="V526" s="84"/>
      <c r="W526" s="1"/>
      <c r="Z526" s="3"/>
    </row>
    <row r="527" spans="1:26" s="85" customForma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65"/>
      <c r="O527" s="1"/>
      <c r="P527" s="79"/>
      <c r="Q527" s="1"/>
      <c r="R527" s="49"/>
      <c r="S527" s="1"/>
      <c r="T527" s="1"/>
      <c r="U527" s="83"/>
      <c r="V527" s="84"/>
      <c r="W527" s="1"/>
      <c r="Z527" s="3"/>
    </row>
    <row r="528" spans="1:26" s="85" customForma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65"/>
      <c r="O528" s="1"/>
      <c r="P528" s="79"/>
      <c r="Q528" s="1"/>
      <c r="R528" s="49"/>
      <c r="S528" s="1"/>
      <c r="T528" s="1"/>
      <c r="U528" s="83"/>
      <c r="V528" s="84"/>
      <c r="W528" s="1"/>
      <c r="Z528" s="3"/>
    </row>
    <row r="529" spans="1:26" s="85" customForma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65"/>
      <c r="O529" s="1"/>
      <c r="P529" s="79"/>
      <c r="Q529" s="1"/>
      <c r="R529" s="49"/>
      <c r="S529" s="1"/>
      <c r="T529" s="1"/>
      <c r="U529" s="83"/>
      <c r="V529" s="84"/>
      <c r="W529" s="1"/>
      <c r="Z529" s="3"/>
    </row>
    <row r="530" spans="1:26" s="85" customForma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65"/>
      <c r="O530" s="1"/>
      <c r="P530" s="79"/>
      <c r="Q530" s="1"/>
      <c r="R530" s="49"/>
      <c r="S530" s="1"/>
      <c r="T530" s="1"/>
      <c r="U530" s="83"/>
      <c r="V530" s="84"/>
      <c r="W530" s="1"/>
      <c r="Z530" s="3"/>
    </row>
    <row r="531" spans="1:26" s="85" customForma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65"/>
      <c r="O531" s="1"/>
      <c r="P531" s="79"/>
      <c r="Q531" s="1"/>
      <c r="R531" s="49"/>
      <c r="S531" s="1"/>
      <c r="T531" s="1"/>
      <c r="U531" s="83"/>
      <c r="V531" s="84"/>
      <c r="W531" s="1"/>
      <c r="Z531" s="3"/>
    </row>
    <row r="532" spans="1:26" s="85" customForma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65"/>
      <c r="O532" s="1"/>
      <c r="P532" s="79"/>
      <c r="Q532" s="1"/>
      <c r="R532" s="49"/>
      <c r="S532" s="1"/>
      <c r="T532" s="1"/>
      <c r="U532" s="83"/>
      <c r="V532" s="84"/>
      <c r="W532" s="1"/>
      <c r="Z532" s="3"/>
    </row>
    <row r="533" spans="1:26" s="85" customForma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65"/>
      <c r="O533" s="1"/>
      <c r="P533" s="79"/>
      <c r="Q533" s="1"/>
      <c r="R533" s="49"/>
      <c r="S533" s="1"/>
      <c r="T533" s="1"/>
      <c r="U533" s="83"/>
      <c r="V533" s="84"/>
      <c r="W533" s="1"/>
      <c r="Z533" s="3"/>
    </row>
    <row r="534" spans="1:26" s="85" customForma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65"/>
      <c r="O534" s="1"/>
      <c r="P534" s="79"/>
      <c r="Q534" s="1"/>
      <c r="R534" s="49"/>
      <c r="S534" s="1"/>
      <c r="T534" s="1"/>
      <c r="U534" s="83"/>
      <c r="V534" s="84"/>
      <c r="W534" s="1"/>
      <c r="Z534" s="3"/>
    </row>
    <row r="535" spans="1:26" s="85" customForma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65"/>
      <c r="O535" s="1"/>
      <c r="P535" s="79"/>
      <c r="Q535" s="1"/>
      <c r="R535" s="49"/>
      <c r="S535" s="1"/>
      <c r="T535" s="1"/>
      <c r="U535" s="83"/>
      <c r="V535" s="84"/>
      <c r="W535" s="1"/>
      <c r="Z535" s="3"/>
    </row>
    <row r="536" spans="1:26" s="85" customForma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65"/>
      <c r="O536" s="1"/>
      <c r="P536" s="79"/>
      <c r="Q536" s="1"/>
      <c r="R536" s="49"/>
      <c r="S536" s="1"/>
      <c r="T536" s="1"/>
      <c r="U536" s="83"/>
      <c r="V536" s="84"/>
      <c r="W536" s="1"/>
      <c r="Z536" s="3"/>
    </row>
    <row r="537" spans="1:26" s="85" customForma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65"/>
      <c r="O537" s="1"/>
      <c r="P537" s="79"/>
      <c r="Q537" s="1"/>
      <c r="R537" s="49"/>
      <c r="S537" s="1"/>
      <c r="T537" s="1"/>
      <c r="U537" s="83"/>
      <c r="V537" s="84"/>
      <c r="W537" s="1"/>
      <c r="Z537" s="3"/>
    </row>
    <row r="538" spans="1:26" s="85" customForma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65"/>
      <c r="O538" s="1"/>
      <c r="P538" s="79"/>
      <c r="Q538" s="1"/>
      <c r="R538" s="49"/>
      <c r="S538" s="1"/>
      <c r="T538" s="1"/>
      <c r="U538" s="83"/>
      <c r="V538" s="84"/>
      <c r="W538" s="1"/>
      <c r="Z538" s="3"/>
    </row>
    <row r="539" spans="1:26" s="85" customForma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65"/>
      <c r="O539" s="1"/>
      <c r="P539" s="79"/>
      <c r="Q539" s="1"/>
      <c r="R539" s="49"/>
      <c r="S539" s="1"/>
      <c r="T539" s="1"/>
      <c r="U539" s="83"/>
      <c r="V539" s="84"/>
      <c r="W539" s="1"/>
      <c r="Z539" s="3"/>
    </row>
    <row r="540" spans="1:26" s="85" customForma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65"/>
      <c r="O540" s="1"/>
      <c r="P540" s="79"/>
      <c r="Q540" s="1"/>
      <c r="R540" s="49"/>
      <c r="S540" s="1"/>
      <c r="T540" s="1"/>
      <c r="U540" s="83"/>
      <c r="V540" s="84"/>
      <c r="W540" s="1"/>
      <c r="Z540" s="3"/>
    </row>
    <row r="541" spans="1:26" s="85" customForma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65"/>
      <c r="O541" s="1"/>
      <c r="P541" s="79"/>
      <c r="Q541" s="1"/>
      <c r="R541" s="49"/>
      <c r="S541" s="1"/>
      <c r="T541" s="1"/>
      <c r="U541" s="83"/>
      <c r="V541" s="84"/>
      <c r="W541" s="1"/>
      <c r="Z541" s="3"/>
    </row>
    <row r="542" spans="1:26" s="85" customForma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65"/>
      <c r="O542" s="1"/>
      <c r="P542" s="79"/>
      <c r="Q542" s="1"/>
      <c r="R542" s="49"/>
      <c r="S542" s="1"/>
      <c r="T542" s="1"/>
      <c r="U542" s="83"/>
      <c r="V542" s="84"/>
      <c r="W542" s="1"/>
      <c r="Z542" s="3"/>
    </row>
    <row r="543" spans="1:26" s="85" customForma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65"/>
      <c r="O543" s="1"/>
      <c r="P543" s="79"/>
      <c r="Q543" s="1"/>
      <c r="R543" s="49"/>
      <c r="S543" s="1"/>
      <c r="T543" s="1"/>
      <c r="U543" s="83"/>
      <c r="V543" s="84"/>
      <c r="W543" s="1"/>
      <c r="Z543" s="3"/>
    </row>
    <row r="544" spans="1:26" s="85" customForma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65"/>
      <c r="O544" s="1"/>
      <c r="P544" s="79"/>
      <c r="Q544" s="1"/>
      <c r="R544" s="49"/>
      <c r="S544" s="1"/>
      <c r="T544" s="1"/>
      <c r="U544" s="83"/>
      <c r="V544" s="84"/>
      <c r="W544" s="1"/>
      <c r="Z544" s="3"/>
    </row>
    <row r="545" spans="1:26" s="85" customForma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65"/>
      <c r="O545" s="1"/>
      <c r="P545" s="79"/>
      <c r="Q545" s="1"/>
      <c r="R545" s="49"/>
      <c r="S545" s="1"/>
      <c r="T545" s="1"/>
      <c r="U545" s="83"/>
      <c r="V545" s="84"/>
      <c r="W545" s="1"/>
      <c r="Z545" s="3"/>
    </row>
    <row r="546" spans="1:26" s="85" customForma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65"/>
      <c r="O546" s="1"/>
      <c r="P546" s="79"/>
      <c r="Q546" s="1"/>
      <c r="R546" s="49"/>
      <c r="S546" s="1"/>
      <c r="T546" s="1"/>
      <c r="U546" s="83"/>
      <c r="V546" s="84"/>
      <c r="W546" s="1"/>
      <c r="Z546" s="3"/>
    </row>
    <row r="547" spans="1:26" s="85" customForma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65"/>
      <c r="O547" s="1"/>
      <c r="P547" s="79"/>
      <c r="Q547" s="1"/>
      <c r="R547" s="49"/>
      <c r="S547" s="1"/>
      <c r="T547" s="1"/>
      <c r="U547" s="83"/>
      <c r="V547" s="84"/>
      <c r="W547" s="1"/>
      <c r="Z547" s="3"/>
    </row>
    <row r="548" spans="1:26" s="85" customForma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65"/>
      <c r="O548" s="1"/>
      <c r="P548" s="79"/>
      <c r="Q548" s="1"/>
      <c r="R548" s="49"/>
      <c r="S548" s="1"/>
      <c r="T548" s="1"/>
      <c r="U548" s="83"/>
      <c r="V548" s="84"/>
      <c r="W548" s="1"/>
      <c r="Z548" s="3"/>
    </row>
    <row r="549" spans="1:26" s="85" customForma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65"/>
      <c r="O549" s="1"/>
      <c r="P549" s="79"/>
      <c r="Q549" s="1"/>
      <c r="R549" s="49"/>
      <c r="S549" s="1"/>
      <c r="T549" s="1"/>
      <c r="U549" s="83"/>
      <c r="V549" s="84"/>
      <c r="W549" s="1"/>
      <c r="Z549" s="3"/>
    </row>
    <row r="550" spans="1:26" s="85" customForma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65"/>
      <c r="O550" s="1"/>
      <c r="P550" s="79"/>
      <c r="Q550" s="1"/>
      <c r="R550" s="49"/>
      <c r="S550" s="1"/>
      <c r="T550" s="1"/>
      <c r="U550" s="83"/>
      <c r="V550" s="84"/>
      <c r="W550" s="1"/>
      <c r="Z550" s="3"/>
    </row>
    <row r="551" spans="1:26" s="85" customForma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65"/>
      <c r="O551" s="1"/>
      <c r="P551" s="79"/>
      <c r="Q551" s="1"/>
      <c r="R551" s="49"/>
      <c r="S551" s="1"/>
      <c r="T551" s="1"/>
      <c r="U551" s="83"/>
      <c r="V551" s="84"/>
      <c r="W551" s="1"/>
      <c r="Z551" s="3"/>
    </row>
    <row r="552" spans="1:26" s="85" customForma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65"/>
      <c r="O552" s="1"/>
      <c r="P552" s="79"/>
      <c r="Q552" s="1"/>
      <c r="R552" s="49"/>
      <c r="S552" s="1"/>
      <c r="T552" s="1"/>
      <c r="U552" s="83"/>
      <c r="V552" s="84"/>
      <c r="W552" s="1"/>
      <c r="Z552" s="3"/>
    </row>
    <row r="553" spans="1:26" s="85" customForma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65"/>
      <c r="O553" s="1"/>
      <c r="P553" s="79"/>
      <c r="Q553" s="1"/>
      <c r="R553" s="49"/>
      <c r="S553" s="1"/>
      <c r="T553" s="1"/>
      <c r="U553" s="83"/>
      <c r="V553" s="84"/>
      <c r="W553" s="1"/>
      <c r="Z553" s="3"/>
    </row>
    <row r="554" spans="1:26" s="85" customForma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65"/>
      <c r="O554" s="1"/>
      <c r="P554" s="79"/>
      <c r="Q554" s="1"/>
      <c r="R554" s="49"/>
      <c r="S554" s="1"/>
      <c r="T554" s="1"/>
      <c r="U554" s="83"/>
      <c r="V554" s="84"/>
      <c r="W554" s="1"/>
      <c r="Z554" s="3"/>
    </row>
    <row r="555" spans="1:26" s="85" customForma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65"/>
      <c r="O555" s="1"/>
      <c r="P555" s="79"/>
      <c r="Q555" s="1"/>
      <c r="R555" s="49"/>
      <c r="S555" s="1"/>
      <c r="T555" s="1"/>
      <c r="U555" s="83"/>
      <c r="V555" s="84"/>
      <c r="W555" s="1"/>
      <c r="Z555" s="3"/>
    </row>
    <row r="556" spans="1:26" s="85" customForma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65"/>
      <c r="O556" s="1"/>
      <c r="P556" s="79"/>
      <c r="Q556" s="1"/>
      <c r="R556" s="49"/>
      <c r="S556" s="1"/>
      <c r="T556" s="1"/>
      <c r="U556" s="83"/>
      <c r="V556" s="84"/>
      <c r="W556" s="1"/>
      <c r="Z556" s="3"/>
    </row>
    <row r="557" spans="1:26" s="85" customForma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65"/>
      <c r="O557" s="1"/>
      <c r="P557" s="79"/>
      <c r="Q557" s="1"/>
      <c r="R557" s="49"/>
      <c r="S557" s="1"/>
      <c r="T557" s="1"/>
      <c r="U557" s="83"/>
      <c r="V557" s="84"/>
      <c r="W557" s="1"/>
      <c r="Z557" s="3"/>
    </row>
    <row r="558" spans="1:26" s="85" customForma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65"/>
      <c r="O558" s="1"/>
      <c r="P558" s="79"/>
      <c r="Q558" s="1"/>
      <c r="R558" s="49"/>
      <c r="S558" s="1"/>
      <c r="T558" s="1"/>
      <c r="U558" s="83"/>
      <c r="V558" s="84"/>
      <c r="W558" s="1"/>
      <c r="Z558" s="3"/>
    </row>
    <row r="559" spans="1:26" s="85" customForma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65"/>
      <c r="O559" s="1"/>
      <c r="P559" s="79"/>
      <c r="Q559" s="1"/>
      <c r="R559" s="49"/>
      <c r="S559" s="1"/>
      <c r="T559" s="1"/>
      <c r="U559" s="83"/>
      <c r="V559" s="84"/>
      <c r="W559" s="1"/>
      <c r="Z559" s="3"/>
    </row>
    <row r="560" spans="1:26" s="85" customForma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65"/>
      <c r="O560" s="1"/>
      <c r="P560" s="79"/>
      <c r="Q560" s="1"/>
      <c r="R560" s="49"/>
      <c r="S560" s="1"/>
      <c r="T560" s="1"/>
      <c r="U560" s="83"/>
      <c r="V560" s="84"/>
      <c r="W560" s="1"/>
      <c r="Z560" s="3"/>
    </row>
    <row r="561" spans="1:26" s="85" customForma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65"/>
      <c r="O561" s="1"/>
      <c r="P561" s="79"/>
      <c r="Q561" s="1"/>
      <c r="R561" s="49"/>
      <c r="S561" s="1"/>
      <c r="T561" s="1"/>
      <c r="U561" s="83"/>
      <c r="V561" s="84"/>
      <c r="W561" s="1"/>
      <c r="Z561" s="3"/>
    </row>
    <row r="562" spans="1:26" s="85" customForma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65"/>
      <c r="O562" s="1"/>
      <c r="P562" s="79"/>
      <c r="Q562" s="1"/>
      <c r="R562" s="49"/>
      <c r="S562" s="1"/>
      <c r="T562" s="1"/>
      <c r="U562" s="83"/>
      <c r="V562" s="84"/>
      <c r="W562" s="1"/>
      <c r="Z562" s="3"/>
    </row>
    <row r="563" spans="1:26" s="85" customForma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65"/>
      <c r="O563" s="1"/>
      <c r="P563" s="79"/>
      <c r="Q563" s="1"/>
      <c r="R563" s="49"/>
      <c r="S563" s="1"/>
      <c r="T563" s="1"/>
      <c r="U563" s="83"/>
      <c r="V563" s="84"/>
      <c r="W563" s="1"/>
      <c r="Z563" s="3"/>
    </row>
    <row r="564" spans="1:26" s="85" customForma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65"/>
      <c r="O564" s="1"/>
      <c r="P564" s="79"/>
      <c r="Q564" s="1"/>
      <c r="R564" s="49"/>
      <c r="S564" s="1"/>
      <c r="T564" s="1"/>
      <c r="U564" s="83"/>
      <c r="V564" s="84"/>
      <c r="W564" s="1"/>
      <c r="Z564" s="3"/>
    </row>
    <row r="565" spans="1:26" s="85" customForma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65"/>
      <c r="O565" s="1"/>
      <c r="P565" s="79"/>
      <c r="Q565" s="1"/>
      <c r="R565" s="49"/>
      <c r="S565" s="1"/>
      <c r="T565" s="1"/>
      <c r="U565" s="83"/>
      <c r="V565" s="84"/>
      <c r="W565" s="1"/>
      <c r="Z565" s="3"/>
    </row>
    <row r="566" spans="1:26" s="85" customForma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65"/>
      <c r="O566" s="1"/>
      <c r="P566" s="79"/>
      <c r="Q566" s="1"/>
      <c r="R566" s="49"/>
      <c r="S566" s="1"/>
      <c r="T566" s="1"/>
      <c r="U566" s="83"/>
      <c r="V566" s="84"/>
      <c r="W566" s="1"/>
      <c r="Z566" s="3"/>
    </row>
    <row r="567" spans="1:26" s="85" customForma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65"/>
      <c r="O567" s="1"/>
      <c r="P567" s="79"/>
      <c r="Q567" s="1"/>
      <c r="R567" s="49"/>
      <c r="S567" s="1"/>
      <c r="T567" s="1"/>
      <c r="U567" s="83"/>
      <c r="V567" s="84"/>
      <c r="W567" s="1"/>
      <c r="Z567" s="3"/>
    </row>
    <row r="568" spans="1:26" s="85" customForma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65"/>
      <c r="O568" s="1"/>
      <c r="P568" s="79"/>
      <c r="Q568" s="1"/>
      <c r="R568" s="49"/>
      <c r="S568" s="1"/>
      <c r="T568" s="1"/>
      <c r="U568" s="83"/>
      <c r="V568" s="84"/>
      <c r="W568" s="1"/>
      <c r="Z568" s="3"/>
    </row>
    <row r="569" spans="1:26" s="85" customForma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65"/>
      <c r="O569" s="1"/>
      <c r="P569" s="79"/>
      <c r="Q569" s="1"/>
      <c r="R569" s="49"/>
      <c r="S569" s="1"/>
      <c r="T569" s="1"/>
      <c r="U569" s="83"/>
      <c r="V569" s="84"/>
      <c r="W569" s="1"/>
      <c r="Z569" s="3"/>
    </row>
    <row r="570" spans="1:26" s="85" customForma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65"/>
      <c r="O570" s="1"/>
      <c r="P570" s="79"/>
      <c r="Q570" s="1"/>
      <c r="R570" s="49"/>
      <c r="S570" s="1"/>
      <c r="T570" s="1"/>
      <c r="U570" s="83"/>
      <c r="V570" s="84"/>
      <c r="W570" s="1"/>
      <c r="Z570" s="3"/>
    </row>
    <row r="571" spans="1:26" s="85" customForma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65"/>
      <c r="O571" s="1"/>
      <c r="P571" s="79"/>
      <c r="Q571" s="1"/>
      <c r="R571" s="49"/>
      <c r="S571" s="1"/>
      <c r="T571" s="1"/>
      <c r="U571" s="83"/>
      <c r="V571" s="84"/>
      <c r="W571" s="1"/>
      <c r="Z571" s="3"/>
    </row>
    <row r="572" spans="1:26" s="85" customForma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65"/>
      <c r="O572" s="1"/>
      <c r="P572" s="79"/>
      <c r="Q572" s="1"/>
      <c r="R572" s="49"/>
      <c r="S572" s="1"/>
      <c r="T572" s="1"/>
      <c r="U572" s="83"/>
      <c r="V572" s="84"/>
      <c r="W572" s="1"/>
      <c r="Z572" s="3"/>
    </row>
    <row r="573" spans="1:26" s="85" customForma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65"/>
      <c r="O573" s="1"/>
      <c r="P573" s="79"/>
      <c r="Q573" s="1"/>
      <c r="R573" s="49"/>
      <c r="S573" s="1"/>
      <c r="T573" s="1"/>
      <c r="U573" s="83"/>
      <c r="V573" s="84"/>
      <c r="W573" s="1"/>
      <c r="Z573" s="3"/>
    </row>
    <row r="574" spans="1:26" s="85" customForma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65"/>
      <c r="O574" s="1"/>
      <c r="P574" s="79"/>
      <c r="Q574" s="1"/>
      <c r="R574" s="49"/>
      <c r="S574" s="1"/>
      <c r="T574" s="1"/>
      <c r="U574" s="83"/>
      <c r="V574" s="84"/>
      <c r="W574" s="1"/>
      <c r="Z574" s="3"/>
    </row>
    <row r="575" spans="1:26" s="85" customForma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65"/>
      <c r="O575" s="1"/>
      <c r="P575" s="79"/>
      <c r="Q575" s="1"/>
      <c r="R575" s="49"/>
      <c r="S575" s="1"/>
      <c r="T575" s="1"/>
      <c r="U575" s="83"/>
      <c r="V575" s="84"/>
      <c r="W575" s="1"/>
      <c r="Z575" s="3"/>
    </row>
    <row r="576" spans="1:26" s="85" customForma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65"/>
      <c r="O576" s="1"/>
      <c r="P576" s="79"/>
      <c r="Q576" s="1"/>
      <c r="R576" s="49"/>
      <c r="S576" s="1"/>
      <c r="T576" s="1"/>
      <c r="U576" s="83"/>
      <c r="V576" s="84"/>
      <c r="W576" s="1"/>
      <c r="Z576" s="3"/>
    </row>
    <row r="577" spans="1:26" s="85" customForma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65"/>
      <c r="O577" s="1"/>
      <c r="P577" s="79"/>
      <c r="Q577" s="1"/>
      <c r="R577" s="49"/>
      <c r="S577" s="1"/>
      <c r="T577" s="1"/>
      <c r="U577" s="83"/>
      <c r="V577" s="84"/>
      <c r="W577" s="1"/>
      <c r="Z577" s="3"/>
    </row>
    <row r="578" spans="1:26" s="85" customForma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65"/>
      <c r="O578" s="1"/>
      <c r="P578" s="79"/>
      <c r="Q578" s="1"/>
      <c r="R578" s="49"/>
      <c r="S578" s="1"/>
      <c r="T578" s="1"/>
      <c r="U578" s="83"/>
      <c r="V578" s="84"/>
      <c r="W578" s="1"/>
      <c r="Z578" s="3"/>
    </row>
    <row r="579" spans="1:26" s="85" customForma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65"/>
      <c r="O579" s="1"/>
      <c r="P579" s="79"/>
      <c r="Q579" s="1"/>
      <c r="R579" s="49"/>
      <c r="S579" s="1"/>
      <c r="T579" s="1"/>
      <c r="U579" s="83"/>
      <c r="V579" s="84"/>
      <c r="W579" s="1"/>
      <c r="Z579" s="3"/>
    </row>
    <row r="580" spans="1:26" s="85" customForma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65"/>
      <c r="O580" s="1"/>
      <c r="P580" s="79"/>
      <c r="Q580" s="1"/>
      <c r="R580" s="49"/>
      <c r="S580" s="1"/>
      <c r="T580" s="1"/>
      <c r="U580" s="83"/>
      <c r="V580" s="84"/>
      <c r="W580" s="1"/>
      <c r="Z580" s="3"/>
    </row>
    <row r="581" spans="1:26" s="85" customForma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65"/>
      <c r="O581" s="1"/>
      <c r="P581" s="79"/>
      <c r="Q581" s="1"/>
      <c r="R581" s="49"/>
      <c r="S581" s="1"/>
      <c r="T581" s="1"/>
      <c r="U581" s="83"/>
      <c r="V581" s="84"/>
      <c r="W581" s="1"/>
      <c r="Z581" s="3"/>
    </row>
    <row r="582" spans="1:26" s="85" customForma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65"/>
      <c r="O582" s="1"/>
      <c r="P582" s="79"/>
      <c r="Q582" s="1"/>
      <c r="R582" s="49"/>
      <c r="S582" s="1"/>
      <c r="T582" s="1"/>
      <c r="U582" s="83"/>
      <c r="V582" s="84"/>
      <c r="W582" s="1"/>
      <c r="Z582" s="3"/>
    </row>
    <row r="583" spans="1:26" s="85" customForma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65"/>
      <c r="O583" s="1"/>
      <c r="P583" s="79"/>
      <c r="Q583" s="1"/>
      <c r="R583" s="49"/>
      <c r="S583" s="1"/>
      <c r="T583" s="1"/>
      <c r="U583" s="83"/>
      <c r="V583" s="84"/>
      <c r="W583" s="1"/>
      <c r="Z583" s="3"/>
    </row>
    <row r="584" spans="1:26" s="85" customForma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65"/>
      <c r="O584" s="1"/>
      <c r="P584" s="79"/>
      <c r="Q584" s="1"/>
      <c r="R584" s="49"/>
      <c r="S584" s="1"/>
      <c r="T584" s="1"/>
      <c r="U584" s="83"/>
      <c r="V584" s="84"/>
      <c r="W584" s="1"/>
      <c r="Z584" s="3"/>
    </row>
    <row r="585" spans="1:26" s="85" customForma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65"/>
      <c r="O585" s="1"/>
      <c r="P585" s="79"/>
      <c r="Q585" s="1"/>
      <c r="R585" s="49"/>
      <c r="S585" s="1"/>
      <c r="T585" s="1"/>
      <c r="U585" s="83"/>
      <c r="V585" s="84"/>
      <c r="W585" s="1"/>
      <c r="Z585" s="3"/>
    </row>
    <row r="586" spans="1:26" s="85" customForma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65"/>
      <c r="O586" s="1"/>
      <c r="P586" s="79"/>
      <c r="Q586" s="1"/>
      <c r="R586" s="49"/>
      <c r="S586" s="1"/>
      <c r="T586" s="1"/>
      <c r="U586" s="83"/>
      <c r="V586" s="84"/>
      <c r="W586" s="1"/>
      <c r="Z586" s="3"/>
    </row>
    <row r="587" spans="1:26" s="85" customForma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65"/>
      <c r="O587" s="1"/>
      <c r="P587" s="79"/>
      <c r="Q587" s="1"/>
      <c r="R587" s="49"/>
      <c r="S587" s="1"/>
      <c r="T587" s="1"/>
      <c r="U587" s="83"/>
      <c r="V587" s="84"/>
      <c r="W587" s="1"/>
      <c r="Z587" s="3"/>
    </row>
    <row r="588" spans="1:26" s="85" customForma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65"/>
      <c r="O588" s="1"/>
      <c r="P588" s="79"/>
      <c r="Q588" s="1"/>
      <c r="R588" s="49"/>
      <c r="S588" s="1"/>
      <c r="T588" s="1"/>
      <c r="U588" s="83"/>
      <c r="V588" s="84"/>
      <c r="W588" s="1"/>
      <c r="Z588" s="3"/>
    </row>
    <row r="589" spans="1:26" s="85" customForma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65"/>
      <c r="O589" s="1"/>
      <c r="P589" s="79"/>
      <c r="Q589" s="1"/>
      <c r="R589" s="49"/>
      <c r="S589" s="1"/>
      <c r="T589" s="1"/>
      <c r="U589" s="83"/>
      <c r="V589" s="84"/>
      <c r="W589" s="1"/>
      <c r="Z589" s="3"/>
    </row>
    <row r="590" spans="1:26" s="85" customForma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65"/>
      <c r="O590" s="1"/>
      <c r="P590" s="79"/>
      <c r="Q590" s="1"/>
      <c r="R590" s="49"/>
      <c r="S590" s="1"/>
      <c r="T590" s="1"/>
      <c r="U590" s="83"/>
      <c r="V590" s="84"/>
      <c r="W590" s="1"/>
      <c r="Z590" s="3"/>
    </row>
    <row r="591" spans="1:26" s="85" customForma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65"/>
      <c r="O591" s="1"/>
      <c r="P591" s="79"/>
      <c r="Q591" s="1"/>
      <c r="R591" s="49"/>
      <c r="S591" s="1"/>
      <c r="T591" s="1"/>
      <c r="U591" s="83"/>
      <c r="V591" s="84"/>
      <c r="W591" s="1"/>
      <c r="Z591" s="3"/>
    </row>
    <row r="592" spans="1:26" s="85" customForma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65"/>
      <c r="O592" s="1"/>
      <c r="P592" s="79"/>
      <c r="Q592" s="1"/>
      <c r="R592" s="49"/>
      <c r="S592" s="1"/>
      <c r="T592" s="1"/>
      <c r="U592" s="83"/>
      <c r="V592" s="84"/>
      <c r="W592" s="1"/>
      <c r="Z592" s="3"/>
    </row>
    <row r="593" spans="1:26" s="85" customForma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65"/>
      <c r="O593" s="1"/>
      <c r="P593" s="79"/>
      <c r="Q593" s="1"/>
      <c r="R593" s="49"/>
      <c r="S593" s="1"/>
      <c r="T593" s="1"/>
      <c r="U593" s="83"/>
      <c r="V593" s="84"/>
      <c r="W593" s="1"/>
      <c r="Z593" s="3"/>
    </row>
    <row r="594" spans="1:26" s="85" customForma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65"/>
      <c r="O594" s="1"/>
      <c r="P594" s="79"/>
      <c r="Q594" s="1"/>
      <c r="R594" s="49"/>
      <c r="S594" s="1"/>
      <c r="T594" s="1"/>
      <c r="U594" s="83"/>
      <c r="V594" s="84"/>
      <c r="W594" s="1"/>
      <c r="Z594" s="3"/>
    </row>
    <row r="595" spans="1:26" s="85" customForma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65"/>
      <c r="O595" s="1"/>
      <c r="P595" s="79"/>
      <c r="Q595" s="1"/>
      <c r="R595" s="49"/>
      <c r="S595" s="1"/>
      <c r="T595" s="1"/>
      <c r="U595" s="83"/>
      <c r="V595" s="84"/>
      <c r="W595" s="1"/>
      <c r="Z595" s="3"/>
    </row>
    <row r="596" spans="1:26" s="85" customForma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65"/>
      <c r="O596" s="1"/>
      <c r="P596" s="79"/>
      <c r="Q596" s="1"/>
      <c r="R596" s="49"/>
      <c r="S596" s="1"/>
      <c r="T596" s="1"/>
      <c r="U596" s="83"/>
      <c r="V596" s="84"/>
      <c r="W596" s="1"/>
      <c r="Z596" s="3"/>
    </row>
    <row r="597" spans="1:26" s="85" customForma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65"/>
      <c r="O597" s="1"/>
      <c r="P597" s="79"/>
      <c r="Q597" s="1"/>
      <c r="R597" s="49"/>
      <c r="S597" s="1"/>
      <c r="T597" s="1"/>
      <c r="U597" s="83"/>
      <c r="V597" s="84"/>
      <c r="W597" s="1"/>
      <c r="Z597" s="3"/>
    </row>
    <row r="598" spans="1:26" s="85" customForma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65"/>
      <c r="O598" s="1"/>
      <c r="P598" s="79"/>
      <c r="Q598" s="1"/>
      <c r="R598" s="49"/>
      <c r="S598" s="1"/>
      <c r="T598" s="1"/>
      <c r="U598" s="83"/>
      <c r="V598" s="84"/>
      <c r="W598" s="1"/>
      <c r="Z598" s="3"/>
    </row>
    <row r="599" spans="1:26" s="85" customForma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65"/>
      <c r="O599" s="1"/>
      <c r="P599" s="79"/>
      <c r="Q599" s="1"/>
      <c r="R599" s="49"/>
      <c r="S599" s="1"/>
      <c r="T599" s="1"/>
      <c r="U599" s="83"/>
      <c r="V599" s="84"/>
      <c r="W599" s="1"/>
      <c r="Z599" s="3"/>
    </row>
    <row r="600" spans="1:26" s="85" customForma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65"/>
      <c r="O600" s="1"/>
      <c r="P600" s="79"/>
      <c r="Q600" s="1"/>
      <c r="R600" s="49"/>
      <c r="S600" s="1"/>
      <c r="T600" s="1"/>
      <c r="U600" s="83"/>
      <c r="V600" s="84"/>
      <c r="W600" s="1"/>
      <c r="Z600" s="3"/>
    </row>
    <row r="601" spans="1:26" s="85" customForma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65"/>
      <c r="O601" s="1"/>
      <c r="P601" s="79"/>
      <c r="Q601" s="1"/>
      <c r="R601" s="49"/>
      <c r="S601" s="1"/>
      <c r="T601" s="1"/>
      <c r="U601" s="83"/>
      <c r="V601" s="84"/>
      <c r="W601" s="1"/>
      <c r="Z601" s="3"/>
    </row>
    <row r="602" spans="1:26" s="85" customForma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65"/>
      <c r="O602" s="1"/>
      <c r="P602" s="79"/>
      <c r="Q602" s="1"/>
      <c r="R602" s="49"/>
      <c r="S602" s="1"/>
      <c r="T602" s="1"/>
      <c r="U602" s="83"/>
      <c r="V602" s="84"/>
      <c r="W602" s="1"/>
      <c r="Z602" s="3"/>
    </row>
    <row r="603" spans="1:26" s="85" customForma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65"/>
      <c r="O603" s="1"/>
      <c r="P603" s="79"/>
      <c r="Q603" s="1"/>
      <c r="R603" s="49"/>
      <c r="S603" s="1"/>
      <c r="T603" s="1"/>
      <c r="U603" s="83"/>
      <c r="V603" s="84"/>
      <c r="W603" s="1"/>
      <c r="Z603" s="3"/>
    </row>
    <row r="604" spans="1:26" s="85" customForma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65"/>
      <c r="O604" s="1"/>
      <c r="P604" s="79"/>
      <c r="Q604" s="1"/>
      <c r="R604" s="49"/>
      <c r="S604" s="1"/>
      <c r="T604" s="1"/>
      <c r="U604" s="83"/>
      <c r="V604" s="84"/>
      <c r="W604" s="1"/>
      <c r="Z604" s="3"/>
    </row>
    <row r="605" spans="1:26" s="85" customForma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65"/>
      <c r="O605" s="1"/>
      <c r="P605" s="79"/>
      <c r="Q605" s="1"/>
      <c r="R605" s="49"/>
      <c r="S605" s="1"/>
      <c r="T605" s="1"/>
      <c r="U605" s="83"/>
      <c r="V605" s="84"/>
      <c r="W605" s="1"/>
      <c r="Z605" s="3"/>
    </row>
    <row r="606" spans="1:26" s="85" customForma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65"/>
      <c r="O606" s="1"/>
      <c r="P606" s="79"/>
      <c r="Q606" s="1"/>
      <c r="R606" s="49"/>
      <c r="S606" s="1"/>
      <c r="T606" s="1"/>
      <c r="U606" s="83"/>
      <c r="V606" s="84"/>
      <c r="W606" s="1"/>
      <c r="Z606" s="3"/>
    </row>
    <row r="607" spans="1:26" s="85" customForma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65"/>
      <c r="O607" s="1"/>
      <c r="P607" s="79"/>
      <c r="Q607" s="1"/>
      <c r="R607" s="49"/>
      <c r="S607" s="1"/>
      <c r="T607" s="1"/>
      <c r="U607" s="83"/>
      <c r="V607" s="84"/>
      <c r="W607" s="1"/>
      <c r="Z607" s="3"/>
    </row>
    <row r="608" spans="1:26" s="85" customForma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65"/>
      <c r="O608" s="1"/>
      <c r="P608" s="79"/>
      <c r="Q608" s="1"/>
      <c r="R608" s="49"/>
      <c r="S608" s="1"/>
      <c r="T608" s="1"/>
      <c r="U608" s="83"/>
      <c r="V608" s="84"/>
      <c r="W608" s="1"/>
      <c r="Z608" s="3"/>
    </row>
    <row r="609" spans="1:26" s="85" customForma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65"/>
      <c r="O609" s="1"/>
      <c r="P609" s="79"/>
      <c r="Q609" s="1"/>
      <c r="R609" s="49"/>
      <c r="S609" s="1"/>
      <c r="T609" s="1"/>
      <c r="U609" s="83"/>
      <c r="V609" s="84"/>
      <c r="W609" s="1"/>
      <c r="Z609" s="3"/>
    </row>
    <row r="610" spans="1:26" s="85" customForma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65"/>
      <c r="O610" s="1"/>
      <c r="P610" s="79"/>
      <c r="Q610" s="1"/>
      <c r="R610" s="49"/>
      <c r="S610" s="1"/>
      <c r="T610" s="1"/>
      <c r="U610" s="83"/>
      <c r="V610" s="84"/>
      <c r="W610" s="1"/>
      <c r="Z610" s="3"/>
    </row>
    <row r="611" spans="1:26" s="85" customForma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65"/>
      <c r="O611" s="1"/>
      <c r="P611" s="79"/>
      <c r="Q611" s="1"/>
      <c r="R611" s="49"/>
      <c r="S611" s="1"/>
      <c r="T611" s="1"/>
      <c r="U611" s="83"/>
      <c r="V611" s="84"/>
      <c r="W611" s="1"/>
      <c r="Z611" s="3"/>
    </row>
    <row r="612" spans="1:26" s="85" customForma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65"/>
      <c r="O612" s="1"/>
      <c r="P612" s="79"/>
      <c r="Q612" s="1"/>
      <c r="R612" s="49"/>
      <c r="S612" s="1"/>
      <c r="T612" s="1"/>
      <c r="U612" s="83"/>
      <c r="V612" s="84"/>
      <c r="W612" s="1"/>
      <c r="Z612" s="3"/>
    </row>
    <row r="613" spans="1:26" s="85" customForma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65"/>
      <c r="O613" s="1"/>
      <c r="P613" s="79"/>
      <c r="Q613" s="1"/>
      <c r="R613" s="49"/>
      <c r="S613" s="1"/>
      <c r="T613" s="1"/>
      <c r="U613" s="83"/>
      <c r="V613" s="84"/>
      <c r="W613" s="1"/>
      <c r="Z613" s="3"/>
    </row>
    <row r="614" spans="1:26" s="85" customForma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65"/>
      <c r="O614" s="1"/>
      <c r="P614" s="79"/>
      <c r="Q614" s="1"/>
      <c r="R614" s="49"/>
      <c r="S614" s="1"/>
      <c r="T614" s="1"/>
      <c r="U614" s="83"/>
      <c r="V614" s="84"/>
      <c r="W614" s="1"/>
      <c r="Z614" s="3"/>
    </row>
    <row r="615" spans="1:26" s="85" customForma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65"/>
      <c r="O615" s="1"/>
      <c r="P615" s="79"/>
      <c r="Q615" s="1"/>
      <c r="R615" s="49"/>
      <c r="S615" s="1"/>
      <c r="T615" s="1"/>
      <c r="U615" s="83"/>
      <c r="V615" s="84"/>
      <c r="W615" s="1"/>
      <c r="Z615" s="3"/>
    </row>
    <row r="616" spans="1:26" s="85" customForma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65"/>
      <c r="O616" s="1"/>
      <c r="P616" s="79"/>
      <c r="Q616" s="1"/>
      <c r="R616" s="49"/>
      <c r="S616" s="1"/>
      <c r="T616" s="1"/>
      <c r="U616" s="83"/>
      <c r="V616" s="84"/>
      <c r="W616" s="1"/>
      <c r="Z616" s="3"/>
    </row>
    <row r="617" spans="1:26" s="85" customForma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65"/>
      <c r="O617" s="1"/>
      <c r="P617" s="79"/>
      <c r="Q617" s="1"/>
      <c r="R617" s="49"/>
      <c r="S617" s="1"/>
      <c r="T617" s="1"/>
      <c r="U617" s="83"/>
      <c r="V617" s="84"/>
      <c r="W617" s="1"/>
      <c r="Z617" s="3"/>
    </row>
    <row r="618" spans="1:26" s="85" customForma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65"/>
      <c r="O618" s="1"/>
      <c r="P618" s="79"/>
      <c r="Q618" s="1"/>
      <c r="R618" s="49"/>
      <c r="S618" s="1"/>
      <c r="T618" s="1"/>
      <c r="U618" s="83"/>
      <c r="V618" s="84"/>
      <c r="W618" s="1"/>
      <c r="Z618" s="3"/>
    </row>
    <row r="619" spans="1:26" s="85" customForma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65"/>
      <c r="O619" s="1"/>
      <c r="P619" s="79"/>
      <c r="Q619" s="1"/>
      <c r="R619" s="49"/>
      <c r="S619" s="1"/>
      <c r="T619" s="1"/>
      <c r="U619" s="83"/>
      <c r="V619" s="84"/>
      <c r="W619" s="1"/>
      <c r="Z619" s="3"/>
    </row>
    <row r="620" spans="1:26" s="85" customForma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65"/>
      <c r="O620" s="1"/>
      <c r="P620" s="79"/>
      <c r="Q620" s="1"/>
      <c r="R620" s="49"/>
      <c r="S620" s="1"/>
      <c r="T620" s="1"/>
      <c r="U620" s="83"/>
      <c r="V620" s="84"/>
      <c r="W620" s="1"/>
      <c r="Z620" s="3"/>
    </row>
    <row r="621" spans="1:26" s="85" customForma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65"/>
      <c r="O621" s="1"/>
      <c r="P621" s="79"/>
      <c r="Q621" s="1"/>
      <c r="R621" s="49"/>
      <c r="S621" s="1"/>
      <c r="T621" s="1"/>
      <c r="U621" s="83"/>
      <c r="V621" s="84"/>
      <c r="W621" s="1"/>
      <c r="Z621" s="3"/>
    </row>
    <row r="622" spans="1:26" s="85" customForma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65"/>
      <c r="O622" s="1"/>
      <c r="P622" s="79"/>
      <c r="Q622" s="1"/>
      <c r="R622" s="49"/>
      <c r="S622" s="1"/>
      <c r="T622" s="1"/>
      <c r="U622" s="83"/>
      <c r="V622" s="84"/>
      <c r="W622" s="1"/>
      <c r="Z622" s="3"/>
    </row>
    <row r="623" spans="1:26" s="85" customForma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65"/>
      <c r="O623" s="1"/>
      <c r="P623" s="79"/>
      <c r="Q623" s="1"/>
      <c r="R623" s="49"/>
      <c r="S623" s="1"/>
      <c r="T623" s="1"/>
      <c r="U623" s="83"/>
      <c r="V623" s="84"/>
      <c r="W623" s="1"/>
      <c r="Z623" s="3"/>
    </row>
    <row r="624" spans="1:26" s="85" customForma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65"/>
      <c r="O624" s="1"/>
      <c r="P624" s="79"/>
      <c r="Q624" s="1"/>
      <c r="R624" s="49"/>
      <c r="S624" s="1"/>
      <c r="T624" s="1"/>
      <c r="U624" s="83"/>
      <c r="V624" s="84"/>
      <c r="W624" s="1"/>
      <c r="Z624" s="3"/>
    </row>
    <row r="625" spans="1:26" s="85" customForma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65"/>
      <c r="O625" s="1"/>
      <c r="P625" s="79"/>
      <c r="Q625" s="1"/>
      <c r="R625" s="49"/>
      <c r="S625" s="1"/>
      <c r="T625" s="1"/>
      <c r="U625" s="83"/>
      <c r="V625" s="84"/>
      <c r="W625" s="1"/>
      <c r="Z625" s="3"/>
    </row>
    <row r="626" spans="1:26" s="85" customForma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65"/>
      <c r="O626" s="1"/>
      <c r="P626" s="79"/>
      <c r="Q626" s="1"/>
      <c r="R626" s="49"/>
      <c r="S626" s="1"/>
      <c r="T626" s="1"/>
      <c r="U626" s="83"/>
      <c r="V626" s="84"/>
      <c r="W626" s="1"/>
      <c r="Z626" s="3"/>
    </row>
    <row r="627" spans="1:26" s="85" customForma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65"/>
      <c r="O627" s="1"/>
      <c r="P627" s="79"/>
      <c r="Q627" s="1"/>
      <c r="R627" s="49"/>
      <c r="S627" s="1"/>
      <c r="T627" s="1"/>
      <c r="U627" s="83"/>
      <c r="V627" s="84"/>
      <c r="W627" s="1"/>
      <c r="Z627" s="3"/>
    </row>
    <row r="628" spans="1:26" s="85" customForma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65"/>
      <c r="O628" s="1"/>
      <c r="P628" s="79"/>
      <c r="Q628" s="1"/>
      <c r="R628" s="49"/>
      <c r="S628" s="1"/>
      <c r="T628" s="1"/>
      <c r="U628" s="83"/>
      <c r="V628" s="84"/>
      <c r="W628" s="1"/>
      <c r="Z628" s="3"/>
    </row>
    <row r="629" spans="1:26" s="85" customForma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65"/>
      <c r="O629" s="1"/>
      <c r="P629" s="79"/>
      <c r="Q629" s="1"/>
      <c r="R629" s="49"/>
      <c r="S629" s="1"/>
      <c r="T629" s="1"/>
      <c r="U629" s="83"/>
      <c r="V629" s="84"/>
      <c r="W629" s="1"/>
      <c r="Z629" s="3"/>
    </row>
    <row r="630" spans="1:26" s="85" customForma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65"/>
      <c r="O630" s="1"/>
      <c r="P630" s="79"/>
      <c r="Q630" s="1"/>
      <c r="R630" s="49"/>
      <c r="S630" s="1"/>
      <c r="T630" s="1"/>
      <c r="U630" s="83"/>
      <c r="V630" s="84"/>
      <c r="W630" s="1"/>
      <c r="Z630" s="3"/>
    </row>
    <row r="631" spans="1:26" s="85" customForma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65"/>
      <c r="O631" s="1"/>
      <c r="P631" s="79"/>
      <c r="Q631" s="1"/>
      <c r="R631" s="49"/>
      <c r="S631" s="1"/>
      <c r="T631" s="1"/>
      <c r="U631" s="83"/>
      <c r="V631" s="84"/>
      <c r="W631" s="1"/>
      <c r="Z631" s="3"/>
    </row>
    <row r="632" spans="1:26" s="85" customForma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65"/>
      <c r="O632" s="1"/>
      <c r="P632" s="79"/>
      <c r="Q632" s="1"/>
      <c r="R632" s="49"/>
      <c r="S632" s="1"/>
      <c r="T632" s="1"/>
      <c r="U632" s="83"/>
      <c r="V632" s="84"/>
      <c r="W632" s="1"/>
      <c r="Z632" s="3"/>
    </row>
    <row r="633" spans="1:26" s="85" customForma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65"/>
      <c r="O633" s="1"/>
      <c r="P633" s="79"/>
      <c r="Q633" s="1"/>
      <c r="R633" s="49"/>
      <c r="S633" s="1"/>
      <c r="T633" s="1"/>
      <c r="U633" s="83"/>
      <c r="V633" s="84"/>
      <c r="W633" s="1"/>
      <c r="Z633" s="3"/>
    </row>
    <row r="634" spans="1:26" s="85" customForma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65"/>
      <c r="O634" s="1"/>
      <c r="P634" s="79"/>
      <c r="Q634" s="1"/>
      <c r="R634" s="49"/>
      <c r="S634" s="1"/>
      <c r="T634" s="1"/>
      <c r="U634" s="83"/>
      <c r="V634" s="84"/>
      <c r="W634" s="1"/>
      <c r="Z634" s="3"/>
    </row>
    <row r="635" spans="1:26" s="85" customForma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65"/>
      <c r="O635" s="1"/>
      <c r="P635" s="79"/>
      <c r="Q635" s="1"/>
      <c r="R635" s="49"/>
      <c r="S635" s="1"/>
      <c r="T635" s="1"/>
      <c r="U635" s="83"/>
      <c r="V635" s="84"/>
      <c r="W635" s="1"/>
      <c r="Z635" s="3"/>
    </row>
    <row r="636" spans="1:26" s="85" customForma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65"/>
      <c r="O636" s="1"/>
      <c r="P636" s="79"/>
      <c r="Q636" s="1"/>
      <c r="R636" s="49"/>
      <c r="S636" s="1"/>
      <c r="T636" s="1"/>
      <c r="U636" s="83"/>
      <c r="V636" s="84"/>
      <c r="W636" s="1"/>
      <c r="Z636" s="3"/>
    </row>
    <row r="637" spans="1:26" s="85" customForma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65"/>
      <c r="O637" s="1"/>
      <c r="P637" s="79"/>
      <c r="Q637" s="1"/>
      <c r="R637" s="49"/>
      <c r="S637" s="1"/>
      <c r="T637" s="1"/>
      <c r="U637" s="83"/>
      <c r="V637" s="84"/>
      <c r="W637" s="1"/>
      <c r="Z637" s="3"/>
    </row>
    <row r="638" spans="1:26" s="85" customForma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65"/>
      <c r="O638" s="1"/>
      <c r="P638" s="79"/>
      <c r="Q638" s="1"/>
      <c r="R638" s="49"/>
      <c r="S638" s="1"/>
      <c r="T638" s="1"/>
      <c r="U638" s="83"/>
      <c r="V638" s="84"/>
      <c r="W638" s="1"/>
      <c r="Z638" s="3"/>
    </row>
    <row r="639" spans="1:26" s="85" customForma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65"/>
      <c r="O639" s="1"/>
      <c r="P639" s="79"/>
      <c r="Q639" s="1"/>
      <c r="R639" s="49"/>
      <c r="S639" s="1"/>
      <c r="T639" s="1"/>
      <c r="U639" s="83"/>
      <c r="V639" s="84"/>
      <c r="W639" s="1"/>
      <c r="Z639" s="3"/>
    </row>
    <row r="640" spans="1:26" s="85" customForma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65"/>
      <c r="O640" s="1"/>
      <c r="P640" s="79"/>
      <c r="Q640" s="1"/>
      <c r="R640" s="49"/>
      <c r="S640" s="1"/>
      <c r="T640" s="1"/>
      <c r="U640" s="83"/>
      <c r="V640" s="84"/>
      <c r="W640" s="1"/>
      <c r="Z640" s="3"/>
    </row>
    <row r="641" spans="1:26" s="85" customForma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65"/>
      <c r="O641" s="1"/>
      <c r="P641" s="79"/>
      <c r="Q641" s="1"/>
      <c r="R641" s="49"/>
      <c r="S641" s="1"/>
      <c r="T641" s="1"/>
      <c r="U641" s="83"/>
      <c r="V641" s="84"/>
      <c r="W641" s="1"/>
      <c r="Z641" s="3"/>
    </row>
    <row r="642" spans="1:26" s="85" customForma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65"/>
      <c r="O642" s="1"/>
      <c r="P642" s="79"/>
      <c r="Q642" s="1"/>
      <c r="R642" s="49"/>
      <c r="S642" s="1"/>
      <c r="T642" s="1"/>
      <c r="U642" s="83"/>
      <c r="V642" s="84"/>
      <c r="W642" s="1"/>
      <c r="Z642" s="3"/>
    </row>
    <row r="643" spans="1:26" s="85" customForma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65"/>
      <c r="O643" s="1"/>
      <c r="P643" s="79"/>
      <c r="Q643" s="1"/>
      <c r="R643" s="49"/>
      <c r="S643" s="1"/>
      <c r="T643" s="1"/>
      <c r="U643" s="83"/>
      <c r="V643" s="84"/>
      <c r="W643" s="1"/>
      <c r="Z643" s="3"/>
    </row>
    <row r="644" spans="1:26" s="85" customForma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65"/>
      <c r="O644" s="1"/>
      <c r="P644" s="79"/>
      <c r="Q644" s="1"/>
      <c r="R644" s="49"/>
      <c r="S644" s="1"/>
      <c r="T644" s="1"/>
      <c r="U644" s="83"/>
      <c r="V644" s="84"/>
      <c r="W644" s="1"/>
      <c r="Z644" s="3"/>
    </row>
    <row r="645" spans="1:26" s="85" customForma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65"/>
      <c r="O645" s="1"/>
      <c r="P645" s="79"/>
      <c r="Q645" s="1"/>
      <c r="R645" s="49"/>
      <c r="S645" s="1"/>
      <c r="T645" s="1"/>
      <c r="U645" s="83"/>
      <c r="V645" s="84"/>
      <c r="W645" s="1"/>
      <c r="Z645" s="3"/>
    </row>
    <row r="646" spans="1:26" s="85" customForma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65"/>
      <c r="O646" s="1"/>
      <c r="P646" s="79"/>
      <c r="Q646" s="1"/>
      <c r="R646" s="49"/>
      <c r="S646" s="1"/>
      <c r="T646" s="1"/>
      <c r="U646" s="83"/>
      <c r="V646" s="84"/>
      <c r="W646" s="1"/>
      <c r="Z646" s="3"/>
    </row>
    <row r="647" spans="1:26" s="85" customForma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65"/>
      <c r="O647" s="1"/>
      <c r="P647" s="79"/>
      <c r="Q647" s="1"/>
      <c r="R647" s="49"/>
      <c r="S647" s="1"/>
      <c r="T647" s="1"/>
      <c r="U647" s="83"/>
      <c r="V647" s="84"/>
      <c r="W647" s="1"/>
      <c r="Z647" s="3"/>
    </row>
    <row r="648" spans="1:26" s="85" customForma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65"/>
      <c r="O648" s="1"/>
      <c r="P648" s="79"/>
      <c r="Q648" s="1"/>
      <c r="R648" s="49"/>
      <c r="S648" s="1"/>
      <c r="T648" s="1"/>
      <c r="U648" s="83"/>
      <c r="V648" s="84"/>
      <c r="W648" s="1"/>
      <c r="Z648" s="3"/>
    </row>
    <row r="649" spans="1:26" s="85" customForma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65"/>
      <c r="O649" s="1"/>
      <c r="P649" s="79"/>
      <c r="Q649" s="1"/>
      <c r="R649" s="49"/>
      <c r="S649" s="1"/>
      <c r="T649" s="1"/>
      <c r="U649" s="83"/>
      <c r="V649" s="84"/>
      <c r="W649" s="1"/>
      <c r="Z649" s="3"/>
    </row>
    <row r="650" spans="1:26" s="85" customForma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65"/>
      <c r="O650" s="1"/>
      <c r="P650" s="79"/>
      <c r="Q650" s="1"/>
      <c r="R650" s="49"/>
      <c r="S650" s="1"/>
      <c r="T650" s="1"/>
      <c r="U650" s="83"/>
      <c r="V650" s="84"/>
      <c r="W650" s="1"/>
      <c r="Z650" s="3"/>
    </row>
    <row r="651" spans="1:26" s="85" customForma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65"/>
      <c r="O651" s="1"/>
      <c r="P651" s="79"/>
      <c r="Q651" s="1"/>
      <c r="R651" s="49"/>
      <c r="S651" s="1"/>
      <c r="T651" s="1"/>
      <c r="U651" s="83"/>
      <c r="V651" s="84"/>
      <c r="W651" s="1"/>
      <c r="Z651" s="3"/>
    </row>
    <row r="652" spans="1:26" s="85" customForma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65"/>
      <c r="O652" s="1"/>
      <c r="P652" s="79"/>
      <c r="Q652" s="1"/>
      <c r="R652" s="49"/>
      <c r="S652" s="1"/>
      <c r="T652" s="1"/>
      <c r="U652" s="83"/>
      <c r="V652" s="84"/>
      <c r="W652" s="1"/>
      <c r="Z652" s="3"/>
    </row>
    <row r="653" spans="1:26" s="85" customForma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65"/>
      <c r="O653" s="1"/>
      <c r="P653" s="79"/>
      <c r="Q653" s="1"/>
      <c r="R653" s="49"/>
      <c r="S653" s="1"/>
      <c r="T653" s="1"/>
      <c r="U653" s="83"/>
      <c r="V653" s="84"/>
      <c r="W653" s="1"/>
      <c r="Z653" s="3"/>
    </row>
    <row r="654" spans="1:26" s="85" customForma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65"/>
      <c r="O654" s="1"/>
      <c r="P654" s="79"/>
      <c r="Q654" s="1"/>
      <c r="R654" s="49"/>
      <c r="S654" s="1"/>
      <c r="T654" s="1"/>
      <c r="U654" s="83"/>
      <c r="V654" s="84"/>
      <c r="W654" s="1"/>
      <c r="Z654" s="3"/>
    </row>
    <row r="655" spans="1:26" s="85" customForma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65"/>
      <c r="O655" s="1"/>
      <c r="P655" s="79"/>
      <c r="Q655" s="1"/>
      <c r="R655" s="49"/>
      <c r="S655" s="1"/>
      <c r="T655" s="1"/>
      <c r="U655" s="83"/>
      <c r="V655" s="84"/>
      <c r="W655" s="1"/>
      <c r="Z655" s="3"/>
    </row>
    <row r="656" spans="1:26" s="85" customForma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65"/>
      <c r="O656" s="1"/>
      <c r="P656" s="79"/>
      <c r="Q656" s="1"/>
      <c r="R656" s="49"/>
      <c r="S656" s="1"/>
      <c r="T656" s="1"/>
      <c r="U656" s="83"/>
      <c r="V656" s="84"/>
      <c r="W656" s="1"/>
      <c r="Z656" s="3"/>
    </row>
    <row r="657" spans="1:26" s="85" customForma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65"/>
      <c r="O657" s="1"/>
      <c r="P657" s="79"/>
      <c r="Q657" s="1"/>
      <c r="R657" s="49"/>
      <c r="S657" s="1"/>
      <c r="T657" s="1"/>
      <c r="U657" s="83"/>
      <c r="V657" s="84"/>
      <c r="W657" s="1"/>
      <c r="Z657" s="3"/>
    </row>
    <row r="658" spans="1:26" s="85" customForma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65"/>
      <c r="O658" s="1"/>
      <c r="P658" s="79"/>
      <c r="Q658" s="1"/>
      <c r="R658" s="49"/>
      <c r="S658" s="1"/>
      <c r="T658" s="1"/>
      <c r="U658" s="83"/>
      <c r="V658" s="84"/>
      <c r="W658" s="1"/>
      <c r="Z658" s="3"/>
    </row>
    <row r="659" spans="1:26" s="85" customForma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65"/>
      <c r="O659" s="1"/>
      <c r="P659" s="79"/>
      <c r="Q659" s="1"/>
      <c r="R659" s="49"/>
      <c r="S659" s="1"/>
      <c r="T659" s="1"/>
      <c r="U659" s="83"/>
      <c r="V659" s="84"/>
      <c r="W659" s="1"/>
      <c r="Z659" s="3"/>
    </row>
    <row r="660" spans="1:26" s="85" customForma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65"/>
      <c r="O660" s="1"/>
      <c r="P660" s="79"/>
      <c r="Q660" s="1"/>
      <c r="R660" s="49"/>
      <c r="S660" s="1"/>
      <c r="T660" s="1"/>
      <c r="U660" s="83"/>
      <c r="V660" s="84"/>
      <c r="W660" s="1"/>
      <c r="Z660" s="3"/>
    </row>
    <row r="661" spans="1:26" s="85" customForma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65"/>
      <c r="O661" s="1"/>
      <c r="P661" s="79"/>
      <c r="Q661" s="1"/>
      <c r="R661" s="49"/>
      <c r="S661" s="1"/>
      <c r="T661" s="1"/>
      <c r="U661" s="83"/>
      <c r="V661" s="84"/>
      <c r="W661" s="1"/>
      <c r="Z661" s="3"/>
    </row>
    <row r="662" spans="1:26" s="85" customForma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65"/>
      <c r="O662" s="1"/>
      <c r="P662" s="79"/>
      <c r="Q662" s="1"/>
      <c r="R662" s="49"/>
      <c r="S662" s="1"/>
      <c r="T662" s="1"/>
      <c r="U662" s="83"/>
      <c r="V662" s="84"/>
      <c r="W662" s="1"/>
      <c r="Z662" s="3"/>
    </row>
    <row r="663" spans="1:26" s="85" customForma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65"/>
      <c r="O663" s="1"/>
      <c r="P663" s="79"/>
      <c r="Q663" s="1"/>
      <c r="R663" s="49"/>
      <c r="S663" s="1"/>
      <c r="T663" s="1"/>
      <c r="U663" s="83"/>
      <c r="V663" s="84"/>
      <c r="W663" s="1"/>
      <c r="Z663" s="3"/>
    </row>
    <row r="664" spans="1:26" s="85" customForma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65"/>
      <c r="O664" s="1"/>
      <c r="P664" s="79"/>
      <c r="Q664" s="1"/>
      <c r="R664" s="49"/>
      <c r="S664" s="1"/>
      <c r="T664" s="1"/>
      <c r="U664" s="83"/>
      <c r="V664" s="84"/>
      <c r="W664" s="1"/>
      <c r="Z664" s="3"/>
    </row>
    <row r="665" spans="1:26" s="85" customForma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65"/>
      <c r="O665" s="1"/>
      <c r="P665" s="79"/>
      <c r="Q665" s="1"/>
      <c r="R665" s="49"/>
      <c r="S665" s="1"/>
      <c r="T665" s="1"/>
      <c r="U665" s="83"/>
      <c r="V665" s="84"/>
      <c r="W665" s="1"/>
      <c r="Z665" s="3"/>
    </row>
    <row r="666" spans="1:26" s="85" customForma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65"/>
      <c r="O666" s="1"/>
      <c r="P666" s="79"/>
      <c r="Q666" s="1"/>
      <c r="R666" s="49"/>
      <c r="S666" s="1"/>
      <c r="T666" s="1"/>
      <c r="U666" s="83"/>
      <c r="V666" s="84"/>
      <c r="W666" s="1"/>
      <c r="Z666" s="3"/>
    </row>
    <row r="667" spans="1:26" s="85" customForma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65"/>
      <c r="O667" s="1"/>
      <c r="P667" s="79"/>
      <c r="Q667" s="1"/>
      <c r="R667" s="49"/>
      <c r="S667" s="1"/>
      <c r="T667" s="1"/>
      <c r="U667" s="83"/>
      <c r="V667" s="84"/>
      <c r="W667" s="1"/>
      <c r="Z667" s="3"/>
    </row>
    <row r="668" spans="1:26" s="85" customForma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65"/>
      <c r="O668" s="1"/>
      <c r="P668" s="79"/>
      <c r="Q668" s="1"/>
      <c r="R668" s="49"/>
      <c r="S668" s="1"/>
      <c r="T668" s="1"/>
      <c r="U668" s="83"/>
      <c r="V668" s="84"/>
      <c r="W668" s="1"/>
      <c r="Z668" s="3"/>
    </row>
    <row r="669" spans="1:26" s="85" customForma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65"/>
      <c r="O669" s="1"/>
      <c r="P669" s="79"/>
      <c r="Q669" s="1"/>
      <c r="R669" s="49"/>
      <c r="S669" s="1"/>
      <c r="T669" s="1"/>
      <c r="U669" s="83"/>
      <c r="V669" s="84"/>
      <c r="W669" s="1"/>
      <c r="Z669" s="3"/>
    </row>
    <row r="670" spans="1:26" s="85" customForma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65"/>
      <c r="O670" s="1"/>
      <c r="P670" s="79"/>
      <c r="Q670" s="1"/>
      <c r="R670" s="49"/>
      <c r="S670" s="1"/>
      <c r="T670" s="1"/>
      <c r="U670" s="83"/>
      <c r="V670" s="84"/>
      <c r="W670" s="1"/>
      <c r="Z670" s="3"/>
    </row>
    <row r="671" spans="1:26" s="85" customForma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65"/>
      <c r="O671" s="1"/>
      <c r="P671" s="79"/>
      <c r="Q671" s="1"/>
      <c r="R671" s="49"/>
      <c r="S671" s="1"/>
      <c r="T671" s="1"/>
      <c r="U671" s="83"/>
      <c r="V671" s="84"/>
      <c r="W671" s="1"/>
      <c r="Z671" s="3"/>
    </row>
    <row r="672" spans="1:26" s="85" customForma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65"/>
      <c r="O672" s="1"/>
      <c r="P672" s="79"/>
      <c r="Q672" s="1"/>
      <c r="R672" s="49"/>
      <c r="S672" s="1"/>
      <c r="T672" s="1"/>
      <c r="U672" s="83"/>
      <c r="V672" s="84"/>
      <c r="W672" s="1"/>
      <c r="Z672" s="3"/>
    </row>
    <row r="673" spans="1:26" s="85" customForma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65"/>
      <c r="O673" s="1"/>
      <c r="P673" s="79"/>
      <c r="Q673" s="1"/>
      <c r="R673" s="49"/>
      <c r="S673" s="1"/>
      <c r="T673" s="1"/>
      <c r="U673" s="83"/>
      <c r="V673" s="84"/>
      <c r="W673" s="1"/>
      <c r="Z673" s="3"/>
    </row>
    <row r="674" spans="1:26" s="85" customForma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65"/>
      <c r="O674" s="1"/>
      <c r="P674" s="79"/>
      <c r="Q674" s="1"/>
      <c r="R674" s="49"/>
      <c r="S674" s="1"/>
      <c r="T674" s="1"/>
      <c r="U674" s="83"/>
      <c r="V674" s="84"/>
      <c r="W674" s="1"/>
      <c r="Z674" s="3"/>
    </row>
    <row r="675" spans="1:26" s="85" customForma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65"/>
      <c r="O675" s="1"/>
      <c r="P675" s="79"/>
      <c r="Q675" s="1"/>
      <c r="R675" s="49"/>
      <c r="S675" s="1"/>
      <c r="T675" s="1"/>
      <c r="U675" s="83"/>
      <c r="V675" s="84"/>
      <c r="W675" s="1"/>
      <c r="Z675" s="3"/>
    </row>
    <row r="676" spans="1:26" s="85" customForma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65"/>
      <c r="O676" s="1"/>
      <c r="P676" s="79"/>
      <c r="Q676" s="1"/>
      <c r="R676" s="49"/>
      <c r="S676" s="1"/>
      <c r="T676" s="1"/>
      <c r="U676" s="83"/>
      <c r="V676" s="84"/>
      <c r="W676" s="1"/>
      <c r="Z676" s="3"/>
    </row>
    <row r="677" spans="1:26" s="85" customForma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65"/>
      <c r="O677" s="1"/>
      <c r="P677" s="79"/>
      <c r="Q677" s="1"/>
      <c r="R677" s="49"/>
      <c r="S677" s="1"/>
      <c r="T677" s="1"/>
      <c r="U677" s="83"/>
      <c r="V677" s="84"/>
      <c r="W677" s="1"/>
      <c r="Z677" s="3"/>
    </row>
    <row r="678" spans="1:26" s="85" customForma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65"/>
      <c r="O678" s="1"/>
      <c r="P678" s="79"/>
      <c r="Q678" s="1"/>
      <c r="R678" s="49"/>
      <c r="S678" s="1"/>
      <c r="T678" s="1"/>
      <c r="U678" s="83"/>
      <c r="V678" s="84"/>
      <c r="W678" s="1"/>
      <c r="Z678" s="3"/>
    </row>
    <row r="679" spans="1:26" s="85" customForma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65"/>
      <c r="O679" s="1"/>
      <c r="P679" s="79"/>
      <c r="Q679" s="1"/>
      <c r="R679" s="49"/>
      <c r="S679" s="1"/>
      <c r="T679" s="1"/>
      <c r="U679" s="83"/>
      <c r="V679" s="84"/>
      <c r="W679" s="1"/>
      <c r="Z679" s="3"/>
    </row>
    <row r="680" spans="1:26" s="85" customForma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65"/>
      <c r="O680" s="1"/>
      <c r="P680" s="79"/>
      <c r="Q680" s="1"/>
      <c r="R680" s="49"/>
      <c r="S680" s="1"/>
      <c r="T680" s="1"/>
      <c r="U680" s="83"/>
      <c r="V680" s="84"/>
      <c r="W680" s="1"/>
      <c r="Z680" s="3"/>
    </row>
    <row r="681" spans="1:26" s="85" customForma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65"/>
      <c r="O681" s="1"/>
      <c r="P681" s="79"/>
      <c r="Q681" s="1"/>
      <c r="R681" s="49"/>
      <c r="S681" s="1"/>
      <c r="T681" s="1"/>
      <c r="U681" s="83"/>
      <c r="V681" s="84"/>
      <c r="W681" s="1"/>
      <c r="Z681" s="3"/>
    </row>
    <row r="682" spans="1:26" s="85" customForma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65"/>
      <c r="O682" s="1"/>
      <c r="P682" s="79"/>
      <c r="Q682" s="1"/>
      <c r="R682" s="49"/>
      <c r="S682" s="1"/>
      <c r="T682" s="1"/>
      <c r="U682" s="83"/>
      <c r="V682" s="84"/>
      <c r="W682" s="1"/>
      <c r="Z682" s="3"/>
    </row>
    <row r="683" spans="1:26" s="85" customForma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65"/>
      <c r="O683" s="1"/>
      <c r="P683" s="79"/>
      <c r="Q683" s="1"/>
      <c r="R683" s="49"/>
      <c r="S683" s="1"/>
      <c r="T683" s="1"/>
      <c r="U683" s="83"/>
      <c r="V683" s="84"/>
      <c r="W683" s="1"/>
      <c r="Z683" s="3"/>
    </row>
    <row r="684" spans="1:26" s="85" customForma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65"/>
      <c r="O684" s="1"/>
      <c r="P684" s="79"/>
      <c r="Q684" s="1"/>
      <c r="R684" s="49"/>
      <c r="S684" s="1"/>
      <c r="T684" s="1"/>
      <c r="U684" s="83"/>
      <c r="V684" s="84"/>
      <c r="W684" s="1"/>
      <c r="Z684" s="3"/>
    </row>
    <row r="685" spans="1:26" s="85" customForma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65"/>
      <c r="O685" s="1"/>
      <c r="P685" s="79"/>
      <c r="Q685" s="1"/>
      <c r="R685" s="49"/>
      <c r="S685" s="1"/>
      <c r="T685" s="1"/>
      <c r="U685" s="83"/>
      <c r="V685" s="84"/>
      <c r="W685" s="1"/>
      <c r="Z685" s="3"/>
    </row>
    <row r="686" spans="1:26" s="85" customForma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65"/>
      <c r="O686" s="1"/>
      <c r="P686" s="79"/>
      <c r="Q686" s="1"/>
      <c r="R686" s="49"/>
      <c r="S686" s="1"/>
      <c r="T686" s="1"/>
      <c r="U686" s="83"/>
      <c r="V686" s="84"/>
      <c r="W686" s="1"/>
      <c r="Z686" s="3"/>
    </row>
    <row r="687" spans="1:26" s="85" customForma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65"/>
      <c r="O687" s="1"/>
      <c r="P687" s="79"/>
      <c r="Q687" s="1"/>
      <c r="R687" s="49"/>
      <c r="S687" s="1"/>
      <c r="T687" s="1"/>
      <c r="U687" s="83"/>
      <c r="V687" s="84"/>
      <c r="W687" s="1"/>
      <c r="Z687" s="3"/>
    </row>
    <row r="688" spans="1:26" s="85" customForma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65"/>
      <c r="O688" s="1"/>
      <c r="P688" s="79"/>
      <c r="Q688" s="1"/>
      <c r="R688" s="49"/>
      <c r="S688" s="1"/>
      <c r="T688" s="1"/>
      <c r="U688" s="83"/>
      <c r="V688" s="84"/>
      <c r="W688" s="1"/>
      <c r="Z688" s="3"/>
    </row>
    <row r="689" spans="1:26" s="85" customForma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65"/>
      <c r="O689" s="1"/>
      <c r="P689" s="79"/>
      <c r="Q689" s="1"/>
      <c r="R689" s="49"/>
      <c r="S689" s="1"/>
      <c r="T689" s="1"/>
      <c r="U689" s="83"/>
      <c r="V689" s="84"/>
      <c r="W689" s="1"/>
      <c r="Z689" s="3"/>
    </row>
    <row r="690" spans="1:26" s="85" customForma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65"/>
      <c r="O690" s="1"/>
      <c r="P690" s="79"/>
      <c r="Q690" s="1"/>
      <c r="R690" s="49"/>
      <c r="S690" s="1"/>
      <c r="T690" s="1"/>
      <c r="U690" s="83"/>
      <c r="V690" s="84"/>
      <c r="W690" s="1"/>
      <c r="Z690" s="3"/>
    </row>
    <row r="691" spans="1:26" s="85" customForma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65"/>
      <c r="O691" s="1"/>
      <c r="P691" s="79"/>
      <c r="Q691" s="1"/>
      <c r="R691" s="49"/>
      <c r="S691" s="1"/>
      <c r="T691" s="1"/>
      <c r="U691" s="83"/>
      <c r="V691" s="84"/>
      <c r="W691" s="1"/>
      <c r="Z691" s="3"/>
    </row>
    <row r="692" spans="1:26" s="85" customForma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65"/>
      <c r="O692" s="1"/>
      <c r="P692" s="79"/>
      <c r="Q692" s="1"/>
      <c r="R692" s="49"/>
      <c r="S692" s="1"/>
      <c r="T692" s="1"/>
      <c r="U692" s="83"/>
      <c r="V692" s="84"/>
      <c r="W692" s="1"/>
      <c r="Z692" s="3"/>
    </row>
    <row r="693" spans="1:26" s="85" customForma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65"/>
      <c r="O693" s="1"/>
      <c r="P693" s="79"/>
      <c r="Q693" s="1"/>
      <c r="R693" s="49"/>
      <c r="S693" s="1"/>
      <c r="T693" s="1"/>
      <c r="U693" s="83"/>
      <c r="V693" s="84"/>
      <c r="W693" s="1"/>
      <c r="Z693" s="3"/>
    </row>
    <row r="694" spans="1:26" s="85" customForma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65"/>
      <c r="O694" s="1"/>
      <c r="P694" s="79"/>
      <c r="Q694" s="1"/>
      <c r="R694" s="49"/>
      <c r="S694" s="1"/>
      <c r="T694" s="1"/>
      <c r="U694" s="83"/>
      <c r="V694" s="84"/>
      <c r="W694" s="1"/>
      <c r="Z694" s="3"/>
    </row>
    <row r="695" spans="1:26" s="85" customForma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65"/>
      <c r="O695" s="1"/>
      <c r="P695" s="79"/>
      <c r="Q695" s="1"/>
      <c r="R695" s="49"/>
      <c r="S695" s="1"/>
      <c r="T695" s="1"/>
      <c r="U695" s="83"/>
      <c r="V695" s="84"/>
      <c r="W695" s="1"/>
      <c r="Z695" s="3"/>
    </row>
    <row r="696" spans="1:26" s="85" customForma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65"/>
      <c r="O696" s="1"/>
      <c r="P696" s="79"/>
      <c r="Q696" s="1"/>
      <c r="R696" s="49"/>
      <c r="S696" s="1"/>
      <c r="T696" s="1"/>
      <c r="U696" s="83"/>
      <c r="V696" s="84"/>
      <c r="W696" s="1"/>
      <c r="Z696" s="3"/>
    </row>
    <row r="697" spans="1:26" s="85" customForma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65"/>
      <c r="O697" s="1"/>
      <c r="P697" s="79"/>
      <c r="Q697" s="1"/>
      <c r="R697" s="49"/>
      <c r="S697" s="1"/>
      <c r="T697" s="1"/>
      <c r="U697" s="83"/>
      <c r="V697" s="84"/>
      <c r="W697" s="1"/>
      <c r="Z697" s="3"/>
    </row>
    <row r="698" spans="1:26" s="85" customForma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65"/>
      <c r="O698" s="1"/>
      <c r="P698" s="79"/>
      <c r="Q698" s="1"/>
      <c r="R698" s="49"/>
      <c r="S698" s="1"/>
      <c r="T698" s="1"/>
      <c r="U698" s="83"/>
      <c r="V698" s="84"/>
      <c r="W698" s="1"/>
      <c r="Z698" s="3"/>
    </row>
    <row r="699" spans="1:26" s="85" customForma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65"/>
      <c r="O699" s="1"/>
      <c r="P699" s="79"/>
      <c r="Q699" s="1"/>
      <c r="R699" s="49"/>
      <c r="S699" s="1"/>
      <c r="T699" s="1"/>
      <c r="U699" s="83"/>
      <c r="V699" s="84"/>
      <c r="W699" s="1"/>
      <c r="Z699" s="3"/>
    </row>
    <row r="700" spans="1:26" s="85" customForma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65"/>
      <c r="O700" s="1"/>
      <c r="P700" s="79"/>
      <c r="Q700" s="1"/>
      <c r="R700" s="49"/>
      <c r="S700" s="1"/>
      <c r="T700" s="1"/>
      <c r="U700" s="83"/>
      <c r="V700" s="84"/>
      <c r="W700" s="1"/>
      <c r="Z700" s="3"/>
    </row>
    <row r="701" spans="1:26" s="85" customForma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65"/>
      <c r="O701" s="1"/>
      <c r="P701" s="79"/>
      <c r="Q701" s="1"/>
      <c r="R701" s="49"/>
      <c r="S701" s="1"/>
      <c r="T701" s="1"/>
      <c r="U701" s="83"/>
      <c r="V701" s="84"/>
      <c r="W701" s="1"/>
      <c r="Z701" s="3"/>
    </row>
    <row r="702" spans="1:26" s="85" customForma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65"/>
      <c r="O702" s="1"/>
      <c r="P702" s="79"/>
      <c r="Q702" s="1"/>
      <c r="R702" s="49"/>
      <c r="S702" s="1"/>
      <c r="T702" s="1"/>
      <c r="U702" s="83"/>
      <c r="V702" s="84"/>
      <c r="W702" s="1"/>
      <c r="Z702" s="3"/>
    </row>
    <row r="703" spans="1:26" s="85" customForma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65"/>
      <c r="O703" s="1"/>
      <c r="P703" s="79"/>
      <c r="Q703" s="1"/>
      <c r="R703" s="49"/>
      <c r="S703" s="1"/>
      <c r="T703" s="1"/>
      <c r="U703" s="83"/>
      <c r="V703" s="84"/>
      <c r="W703" s="1"/>
      <c r="Z703" s="3"/>
    </row>
    <row r="704" spans="1:26" s="85" customForma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65"/>
      <c r="O704" s="1"/>
      <c r="P704" s="79"/>
      <c r="Q704" s="1"/>
      <c r="R704" s="49"/>
      <c r="S704" s="1"/>
      <c r="T704" s="1"/>
      <c r="U704" s="83"/>
      <c r="V704" s="84"/>
      <c r="W704" s="1"/>
      <c r="Z704" s="3"/>
    </row>
    <row r="705" spans="1:26" s="85" customForma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65"/>
      <c r="O705" s="1"/>
      <c r="P705" s="79"/>
      <c r="Q705" s="1"/>
      <c r="R705" s="49"/>
      <c r="S705" s="1"/>
      <c r="T705" s="1"/>
      <c r="U705" s="83"/>
      <c r="V705" s="84"/>
      <c r="W705" s="1"/>
      <c r="Z705" s="3"/>
    </row>
    <row r="706" spans="1:26" s="85" customForma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65"/>
      <c r="O706" s="1"/>
      <c r="P706" s="79"/>
      <c r="Q706" s="1"/>
      <c r="R706" s="49"/>
      <c r="S706" s="1"/>
      <c r="T706" s="1"/>
      <c r="U706" s="83"/>
      <c r="V706" s="84"/>
      <c r="W706" s="1"/>
      <c r="Z706" s="3"/>
    </row>
    <row r="707" spans="1:26" s="85" customForma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65"/>
      <c r="O707" s="1"/>
      <c r="P707" s="79"/>
      <c r="Q707" s="1"/>
      <c r="R707" s="49"/>
      <c r="S707" s="1"/>
      <c r="T707" s="1"/>
      <c r="U707" s="83"/>
      <c r="V707" s="84"/>
      <c r="W707" s="1"/>
      <c r="Z707" s="3"/>
    </row>
    <row r="708" spans="1:26" s="85" customForma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65"/>
      <c r="O708" s="1"/>
      <c r="P708" s="79"/>
      <c r="Q708" s="1"/>
      <c r="R708" s="49"/>
      <c r="S708" s="1"/>
      <c r="T708" s="1"/>
      <c r="U708" s="83"/>
      <c r="V708" s="84"/>
      <c r="W708" s="1"/>
      <c r="Z708" s="3"/>
    </row>
    <row r="709" spans="1:26" s="85" customForma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65"/>
      <c r="O709" s="1"/>
      <c r="P709" s="79"/>
      <c r="Q709" s="1"/>
      <c r="R709" s="49"/>
      <c r="S709" s="1"/>
      <c r="T709" s="1"/>
      <c r="U709" s="83"/>
      <c r="V709" s="84"/>
      <c r="W709" s="1"/>
      <c r="Z709" s="3"/>
    </row>
    <row r="710" spans="1:26" s="85" customForma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65"/>
      <c r="O710" s="1"/>
      <c r="P710" s="79"/>
      <c r="Q710" s="1"/>
      <c r="R710" s="49"/>
      <c r="S710" s="1"/>
      <c r="T710" s="1"/>
      <c r="U710" s="83"/>
      <c r="V710" s="84"/>
      <c r="W710" s="1"/>
      <c r="Z710" s="3"/>
    </row>
    <row r="711" spans="1:26" s="85" customForma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65"/>
      <c r="O711" s="1"/>
      <c r="P711" s="79"/>
      <c r="Q711" s="1"/>
      <c r="R711" s="49"/>
      <c r="S711" s="1"/>
      <c r="T711" s="1"/>
      <c r="U711" s="83"/>
      <c r="V711" s="84"/>
      <c r="W711" s="1"/>
      <c r="Z711" s="3"/>
    </row>
    <row r="712" spans="1:26" s="85" customForma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65"/>
      <c r="O712" s="1"/>
      <c r="P712" s="79"/>
      <c r="Q712" s="1"/>
      <c r="R712" s="49"/>
      <c r="S712" s="1"/>
      <c r="T712" s="1"/>
      <c r="U712" s="83"/>
      <c r="V712" s="84"/>
      <c r="W712" s="1"/>
      <c r="Z712" s="3"/>
    </row>
    <row r="713" spans="1:26" s="85" customForma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65"/>
      <c r="O713" s="1"/>
      <c r="P713" s="79"/>
      <c r="Q713" s="1"/>
      <c r="R713" s="49"/>
      <c r="S713" s="1"/>
      <c r="T713" s="1"/>
      <c r="U713" s="83"/>
      <c r="V713" s="84"/>
      <c r="W713" s="1"/>
      <c r="Z713" s="3"/>
    </row>
    <row r="714" spans="1:26" s="85" customForma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65"/>
      <c r="O714" s="1"/>
      <c r="P714" s="79"/>
      <c r="Q714" s="1"/>
      <c r="R714" s="49"/>
      <c r="S714" s="1"/>
      <c r="T714" s="1"/>
      <c r="U714" s="83"/>
      <c r="V714" s="84"/>
      <c r="W714" s="1"/>
      <c r="Z714" s="3"/>
    </row>
    <row r="715" spans="1:26" s="85" customForma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65"/>
      <c r="O715" s="1"/>
      <c r="P715" s="79"/>
      <c r="Q715" s="1"/>
      <c r="R715" s="49"/>
      <c r="S715" s="1"/>
      <c r="T715" s="1"/>
      <c r="U715" s="83"/>
      <c r="V715" s="84"/>
      <c r="W715" s="1"/>
      <c r="Z715" s="3"/>
    </row>
    <row r="716" spans="1:26" s="85" customForma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65"/>
      <c r="O716" s="1"/>
      <c r="P716" s="79"/>
      <c r="Q716" s="1"/>
      <c r="R716" s="49"/>
      <c r="S716" s="1"/>
      <c r="T716" s="1"/>
      <c r="U716" s="83"/>
      <c r="V716" s="84"/>
      <c r="W716" s="1"/>
      <c r="Z716" s="3"/>
    </row>
    <row r="717" spans="1:26" s="85" customForma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65"/>
      <c r="O717" s="1"/>
      <c r="P717" s="79"/>
      <c r="Q717" s="1"/>
      <c r="R717" s="49"/>
      <c r="S717" s="1"/>
      <c r="T717" s="1"/>
      <c r="U717" s="83"/>
      <c r="V717" s="84"/>
      <c r="W717" s="1"/>
      <c r="Z717" s="3"/>
    </row>
    <row r="718" spans="1:26" s="85" customForma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65"/>
      <c r="O718" s="1"/>
      <c r="P718" s="79"/>
      <c r="Q718" s="1"/>
      <c r="R718" s="49"/>
      <c r="S718" s="1"/>
      <c r="T718" s="1"/>
      <c r="U718" s="83"/>
      <c r="V718" s="84"/>
      <c r="W718" s="1"/>
      <c r="Z718" s="3"/>
    </row>
    <row r="719" spans="1:26" s="85" customForma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65"/>
      <c r="O719" s="1"/>
      <c r="P719" s="79"/>
      <c r="Q719" s="1"/>
      <c r="R719" s="49"/>
      <c r="S719" s="1"/>
      <c r="T719" s="1"/>
      <c r="U719" s="83"/>
      <c r="V719" s="84"/>
      <c r="W719" s="1"/>
      <c r="Z719" s="3"/>
    </row>
    <row r="720" spans="1:26" s="85" customForma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65"/>
      <c r="O720" s="1"/>
      <c r="P720" s="79"/>
      <c r="Q720" s="1"/>
      <c r="R720" s="49"/>
      <c r="S720" s="1"/>
      <c r="T720" s="1"/>
      <c r="U720" s="83"/>
      <c r="V720" s="84"/>
      <c r="W720" s="1"/>
      <c r="Z720" s="3"/>
    </row>
    <row r="721" spans="1:26" s="85" customForma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65"/>
      <c r="O721" s="1"/>
      <c r="P721" s="79"/>
      <c r="Q721" s="1"/>
      <c r="R721" s="49"/>
      <c r="S721" s="1"/>
      <c r="T721" s="1"/>
      <c r="U721" s="83"/>
      <c r="V721" s="84"/>
      <c r="W721" s="1"/>
      <c r="Z721" s="3"/>
    </row>
    <row r="722" spans="1:26" s="85" customForma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65"/>
      <c r="O722" s="1"/>
      <c r="P722" s="79"/>
      <c r="Q722" s="1"/>
      <c r="R722" s="49"/>
      <c r="S722" s="1"/>
      <c r="T722" s="1"/>
      <c r="U722" s="83"/>
      <c r="V722" s="84"/>
      <c r="W722" s="1"/>
      <c r="Z722" s="3"/>
    </row>
    <row r="723" spans="1:26" s="85" customForma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65"/>
      <c r="O723" s="1"/>
      <c r="P723" s="79"/>
      <c r="Q723" s="1"/>
      <c r="R723" s="49"/>
      <c r="S723" s="1"/>
      <c r="T723" s="1"/>
      <c r="U723" s="83"/>
      <c r="V723" s="84"/>
      <c r="W723" s="1"/>
      <c r="Z723" s="3"/>
    </row>
    <row r="724" spans="1:26" s="85" customForma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65"/>
      <c r="O724" s="1"/>
      <c r="P724" s="79"/>
      <c r="Q724" s="1"/>
      <c r="R724" s="49"/>
      <c r="S724" s="1"/>
      <c r="T724" s="1"/>
      <c r="U724" s="83"/>
      <c r="V724" s="84"/>
      <c r="W724" s="1"/>
      <c r="Z724" s="3"/>
    </row>
    <row r="725" spans="1:26" s="85" customForma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65"/>
      <c r="O725" s="1"/>
      <c r="P725" s="79"/>
      <c r="Q725" s="1"/>
      <c r="R725" s="49"/>
      <c r="S725" s="1"/>
      <c r="T725" s="1"/>
      <c r="U725" s="83"/>
      <c r="V725" s="84"/>
      <c r="W725" s="1"/>
      <c r="Z725" s="3"/>
    </row>
    <row r="726" spans="1:26" s="85" customForma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65"/>
      <c r="O726" s="1"/>
      <c r="P726" s="79"/>
      <c r="Q726" s="1"/>
      <c r="R726" s="49"/>
      <c r="S726" s="1"/>
      <c r="T726" s="1"/>
      <c r="U726" s="83"/>
      <c r="V726" s="84"/>
      <c r="W726" s="1"/>
      <c r="Z726" s="3"/>
    </row>
    <row r="727" spans="1:26" s="85" customForma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65"/>
      <c r="O727" s="1"/>
      <c r="P727" s="79"/>
      <c r="Q727" s="1"/>
      <c r="R727" s="49"/>
      <c r="S727" s="1"/>
      <c r="T727" s="1"/>
      <c r="U727" s="83"/>
      <c r="V727" s="84"/>
      <c r="W727" s="1"/>
      <c r="Z727" s="3"/>
    </row>
    <row r="728" spans="1:26" s="85" customForma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65"/>
      <c r="O728" s="1"/>
      <c r="P728" s="79"/>
      <c r="Q728" s="1"/>
      <c r="R728" s="49"/>
      <c r="S728" s="1"/>
      <c r="T728" s="1"/>
      <c r="U728" s="83"/>
      <c r="V728" s="84"/>
      <c r="W728" s="1"/>
      <c r="Z728" s="3"/>
    </row>
    <row r="729" spans="1:26" s="85" customForma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65"/>
      <c r="O729" s="1"/>
      <c r="P729" s="79"/>
      <c r="Q729" s="1"/>
      <c r="R729" s="49"/>
      <c r="S729" s="1"/>
      <c r="T729" s="1"/>
      <c r="U729" s="83"/>
      <c r="V729" s="84"/>
      <c r="W729" s="1"/>
      <c r="Z729" s="3"/>
    </row>
    <row r="730" spans="1:26" s="85" customForma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65"/>
      <c r="O730" s="1"/>
      <c r="P730" s="79"/>
      <c r="Q730" s="1"/>
      <c r="R730" s="49"/>
      <c r="S730" s="1"/>
      <c r="T730" s="1"/>
      <c r="U730" s="83"/>
      <c r="V730" s="84"/>
      <c r="W730" s="1"/>
      <c r="Z730" s="3"/>
    </row>
    <row r="731" spans="1:26" s="85" customForma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65"/>
      <c r="O731" s="1"/>
      <c r="P731" s="79"/>
      <c r="Q731" s="1"/>
      <c r="R731" s="49"/>
      <c r="S731" s="1"/>
      <c r="T731" s="1"/>
      <c r="U731" s="83"/>
      <c r="V731" s="84"/>
      <c r="W731" s="1"/>
      <c r="Z731" s="3"/>
    </row>
    <row r="732" spans="1:26" s="85" customForma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65"/>
      <c r="O732" s="1"/>
      <c r="P732" s="79"/>
      <c r="Q732" s="1"/>
      <c r="R732" s="49"/>
      <c r="S732" s="1"/>
      <c r="T732" s="1"/>
      <c r="U732" s="83"/>
      <c r="V732" s="84"/>
      <c r="W732" s="1"/>
      <c r="Z732" s="3"/>
    </row>
    <row r="733" spans="1:26" s="85" customForma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65"/>
      <c r="O733" s="1"/>
      <c r="P733" s="79"/>
      <c r="Q733" s="1"/>
      <c r="R733" s="49"/>
      <c r="S733" s="1"/>
      <c r="T733" s="1"/>
      <c r="U733" s="83"/>
      <c r="V733" s="84"/>
      <c r="W733" s="1"/>
      <c r="Z733" s="3"/>
    </row>
    <row r="734" spans="1:26" s="85" customForma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65"/>
      <c r="O734" s="1"/>
      <c r="P734" s="79"/>
      <c r="Q734" s="1"/>
      <c r="R734" s="49"/>
      <c r="S734" s="1"/>
      <c r="T734" s="1"/>
      <c r="U734" s="83"/>
      <c r="V734" s="84"/>
      <c r="W734" s="1"/>
      <c r="Z734" s="3"/>
    </row>
    <row r="735" spans="1:26" s="85" customForma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65"/>
      <c r="O735" s="1"/>
      <c r="P735" s="79"/>
      <c r="Q735" s="1"/>
      <c r="R735" s="49"/>
      <c r="S735" s="1"/>
      <c r="T735" s="1"/>
      <c r="U735" s="83"/>
      <c r="V735" s="84"/>
      <c r="W735" s="1"/>
      <c r="Z735" s="3"/>
    </row>
    <row r="736" spans="1:26" s="85" customForma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65"/>
      <c r="O736" s="1"/>
      <c r="P736" s="79"/>
      <c r="Q736" s="1"/>
      <c r="R736" s="49"/>
      <c r="S736" s="1"/>
      <c r="T736" s="1"/>
      <c r="U736" s="83"/>
      <c r="V736" s="84"/>
      <c r="W736" s="1"/>
      <c r="Z736" s="3"/>
    </row>
    <row r="737" spans="1:26" s="85" customForma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65"/>
      <c r="O737" s="1"/>
      <c r="P737" s="79"/>
      <c r="Q737" s="1"/>
      <c r="R737" s="49"/>
      <c r="S737" s="1"/>
      <c r="T737" s="1"/>
      <c r="U737" s="83"/>
      <c r="V737" s="84"/>
      <c r="W737" s="1"/>
      <c r="Z737" s="3"/>
    </row>
    <row r="738" spans="1:26" s="85" customForma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65"/>
      <c r="O738" s="1"/>
      <c r="P738" s="79"/>
      <c r="Q738" s="1"/>
      <c r="R738" s="49"/>
      <c r="S738" s="1"/>
      <c r="T738" s="1"/>
      <c r="U738" s="83"/>
      <c r="V738" s="84"/>
      <c r="W738" s="1"/>
      <c r="Z738" s="3"/>
    </row>
    <row r="739" spans="1:26" s="85" customForma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65"/>
      <c r="O739" s="1"/>
      <c r="P739" s="79"/>
      <c r="Q739" s="1"/>
      <c r="R739" s="49"/>
      <c r="S739" s="1"/>
      <c r="T739" s="1"/>
      <c r="U739" s="83"/>
      <c r="V739" s="84"/>
      <c r="W739" s="1"/>
      <c r="Z739" s="3"/>
    </row>
    <row r="740" spans="1:26" s="85" customForma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65"/>
      <c r="O740" s="1"/>
      <c r="P740" s="79"/>
      <c r="Q740" s="1"/>
      <c r="R740" s="49"/>
      <c r="S740" s="1"/>
      <c r="T740" s="1"/>
      <c r="U740" s="83"/>
      <c r="V740" s="84"/>
      <c r="W740" s="1"/>
      <c r="Z740" s="3"/>
    </row>
    <row r="741" spans="1:26" s="85" customForma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65"/>
      <c r="O741" s="1"/>
      <c r="P741" s="79"/>
      <c r="Q741" s="1"/>
      <c r="R741" s="49"/>
      <c r="S741" s="1"/>
      <c r="T741" s="1"/>
      <c r="U741" s="83"/>
      <c r="V741" s="84"/>
      <c r="W741" s="1"/>
      <c r="Z741" s="3"/>
    </row>
    <row r="742" spans="1:26" s="85" customForma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65"/>
      <c r="O742" s="1"/>
      <c r="P742" s="79"/>
      <c r="Q742" s="1"/>
      <c r="R742" s="49"/>
      <c r="S742" s="1"/>
      <c r="T742" s="1"/>
      <c r="U742" s="83"/>
      <c r="V742" s="84"/>
      <c r="W742" s="1"/>
      <c r="Z742" s="3"/>
    </row>
    <row r="743" spans="1:26" s="85" customForma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65"/>
      <c r="O743" s="1"/>
      <c r="P743" s="79"/>
      <c r="Q743" s="1"/>
      <c r="R743" s="49"/>
      <c r="S743" s="1"/>
      <c r="T743" s="1"/>
      <c r="U743" s="83"/>
      <c r="V743" s="84"/>
      <c r="W743" s="1"/>
      <c r="Z743" s="3"/>
    </row>
    <row r="744" spans="1:26" s="85" customForma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65"/>
      <c r="O744" s="1"/>
      <c r="P744" s="79"/>
      <c r="Q744" s="1"/>
      <c r="R744" s="49"/>
      <c r="S744" s="1"/>
      <c r="T744" s="1"/>
      <c r="U744" s="83"/>
      <c r="V744" s="84"/>
      <c r="W744" s="1"/>
      <c r="Z744" s="3"/>
    </row>
    <row r="745" spans="1:26" s="85" customForma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65"/>
      <c r="O745" s="1"/>
      <c r="P745" s="79"/>
      <c r="Q745" s="1"/>
      <c r="R745" s="49"/>
      <c r="S745" s="1"/>
      <c r="T745" s="1"/>
      <c r="U745" s="83"/>
      <c r="V745" s="84"/>
      <c r="W745" s="1"/>
      <c r="Z745" s="3"/>
    </row>
    <row r="746" spans="1:26" s="85" customForma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65"/>
      <c r="O746" s="1"/>
      <c r="P746" s="79"/>
      <c r="Q746" s="1"/>
      <c r="R746" s="49"/>
      <c r="S746" s="1"/>
      <c r="T746" s="1"/>
      <c r="U746" s="83"/>
      <c r="V746" s="84"/>
      <c r="W746" s="1"/>
      <c r="Z746" s="3"/>
    </row>
    <row r="747" spans="1:26" s="85" customForma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65"/>
      <c r="O747" s="1"/>
      <c r="P747" s="79"/>
      <c r="Q747" s="1"/>
      <c r="R747" s="49"/>
      <c r="S747" s="1"/>
      <c r="T747" s="1"/>
      <c r="U747" s="83"/>
      <c r="V747" s="84"/>
      <c r="W747" s="1"/>
      <c r="Z747" s="3"/>
    </row>
    <row r="748" spans="1:26" s="85" customForma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65"/>
      <c r="O748" s="1"/>
      <c r="P748" s="79"/>
      <c r="Q748" s="1"/>
      <c r="R748" s="49"/>
      <c r="S748" s="1"/>
      <c r="T748" s="1"/>
      <c r="U748" s="83"/>
      <c r="V748" s="84"/>
      <c r="W748" s="1"/>
      <c r="Z748" s="3"/>
    </row>
    <row r="749" spans="1:26" s="85" customForma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65"/>
      <c r="O749" s="1"/>
      <c r="P749" s="79"/>
      <c r="Q749" s="1"/>
      <c r="R749" s="49"/>
      <c r="S749" s="1"/>
      <c r="T749" s="1"/>
      <c r="U749" s="83"/>
      <c r="V749" s="84"/>
      <c r="W749" s="1"/>
      <c r="Z749" s="3"/>
    </row>
    <row r="750" spans="1:26" s="85" customForma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65"/>
      <c r="O750" s="1"/>
      <c r="P750" s="79"/>
      <c r="Q750" s="1"/>
      <c r="R750" s="49"/>
      <c r="S750" s="1"/>
      <c r="T750" s="1"/>
      <c r="U750" s="83"/>
      <c r="V750" s="84"/>
      <c r="W750" s="1"/>
      <c r="Z750" s="3"/>
    </row>
    <row r="751" spans="1:26" s="85" customForma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65"/>
      <c r="O751" s="1"/>
      <c r="P751" s="79"/>
      <c r="Q751" s="1"/>
      <c r="R751" s="49"/>
      <c r="S751" s="1"/>
      <c r="T751" s="1"/>
      <c r="U751" s="83"/>
      <c r="V751" s="84"/>
      <c r="W751" s="1"/>
      <c r="Z751" s="3"/>
    </row>
    <row r="752" spans="1:26" s="85" customForma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65"/>
      <c r="O752" s="1"/>
      <c r="P752" s="79"/>
      <c r="Q752" s="1"/>
      <c r="R752" s="49"/>
      <c r="S752" s="1"/>
      <c r="T752" s="1"/>
      <c r="U752" s="83"/>
      <c r="V752" s="84"/>
      <c r="W752" s="1"/>
      <c r="Z752" s="3"/>
    </row>
    <row r="753" spans="1:26" s="85" customForma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65"/>
      <c r="O753" s="1"/>
      <c r="P753" s="79"/>
      <c r="Q753" s="1"/>
      <c r="R753" s="49"/>
      <c r="S753" s="1"/>
      <c r="T753" s="1"/>
      <c r="U753" s="83"/>
      <c r="V753" s="84"/>
      <c r="W753" s="1"/>
      <c r="Z753" s="3"/>
    </row>
    <row r="754" spans="1:26" s="85" customForma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65"/>
      <c r="O754" s="1"/>
      <c r="P754" s="79"/>
      <c r="Q754" s="1"/>
      <c r="R754" s="49"/>
      <c r="S754" s="1"/>
      <c r="T754" s="1"/>
      <c r="U754" s="83"/>
      <c r="V754" s="84"/>
      <c r="W754" s="1"/>
      <c r="Z754" s="3"/>
    </row>
    <row r="755" spans="1:26" s="85" customForma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65"/>
      <c r="O755" s="1"/>
      <c r="P755" s="79"/>
      <c r="Q755" s="1"/>
      <c r="R755" s="49"/>
      <c r="S755" s="1"/>
      <c r="T755" s="1"/>
      <c r="U755" s="83"/>
      <c r="V755" s="84"/>
      <c r="W755" s="1"/>
      <c r="Z755" s="3"/>
    </row>
    <row r="756" spans="1:26" s="85" customForma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65"/>
      <c r="O756" s="1"/>
      <c r="P756" s="79"/>
      <c r="Q756" s="1"/>
      <c r="R756" s="49"/>
      <c r="S756" s="1"/>
      <c r="T756" s="1"/>
      <c r="U756" s="83"/>
      <c r="V756" s="84"/>
      <c r="W756" s="1"/>
      <c r="Z756" s="3"/>
    </row>
    <row r="757" spans="1:26" s="85" customForma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65"/>
      <c r="O757" s="1"/>
      <c r="P757" s="79"/>
      <c r="Q757" s="1"/>
      <c r="R757" s="49"/>
      <c r="S757" s="1"/>
      <c r="T757" s="1"/>
      <c r="U757" s="83"/>
      <c r="V757" s="84"/>
      <c r="W757" s="1"/>
      <c r="Z757" s="3"/>
    </row>
    <row r="758" spans="1:26" s="85" customForma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65"/>
      <c r="O758" s="1"/>
      <c r="P758" s="79"/>
      <c r="Q758" s="1"/>
      <c r="R758" s="49"/>
      <c r="S758" s="1"/>
      <c r="T758" s="1"/>
      <c r="U758" s="83"/>
      <c r="V758" s="84"/>
      <c r="W758" s="1"/>
      <c r="Z758" s="3"/>
    </row>
    <row r="759" spans="1:26" s="85" customForma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65"/>
      <c r="O759" s="1"/>
      <c r="P759" s="79"/>
      <c r="Q759" s="1"/>
      <c r="R759" s="49"/>
      <c r="S759" s="1"/>
      <c r="T759" s="1"/>
      <c r="U759" s="83"/>
      <c r="V759" s="84"/>
      <c r="W759" s="1"/>
      <c r="Z759" s="3"/>
    </row>
    <row r="760" spans="1:26" s="85" customForma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65"/>
      <c r="O760" s="1"/>
      <c r="P760" s="79"/>
      <c r="Q760" s="1"/>
      <c r="R760" s="49"/>
      <c r="S760" s="1"/>
      <c r="T760" s="1"/>
      <c r="U760" s="83"/>
      <c r="V760" s="84"/>
      <c r="W760" s="1"/>
      <c r="Z760" s="3"/>
    </row>
    <row r="761" spans="1:26" s="85" customForma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65"/>
      <c r="O761" s="1"/>
      <c r="P761" s="79"/>
      <c r="Q761" s="1"/>
      <c r="R761" s="49"/>
      <c r="S761" s="1"/>
      <c r="T761" s="1"/>
      <c r="U761" s="83"/>
      <c r="V761" s="84"/>
      <c r="W761" s="1"/>
      <c r="Z761" s="3"/>
    </row>
    <row r="762" spans="1:26" s="85" customForma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65"/>
      <c r="O762" s="1"/>
      <c r="P762" s="79"/>
      <c r="Q762" s="1"/>
      <c r="R762" s="49"/>
      <c r="S762" s="1"/>
      <c r="T762" s="1"/>
      <c r="U762" s="83"/>
      <c r="V762" s="84"/>
      <c r="W762" s="1"/>
      <c r="Z762" s="3"/>
    </row>
    <row r="763" spans="1:26" s="85" customForma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65"/>
      <c r="O763" s="1"/>
      <c r="P763" s="79"/>
      <c r="Q763" s="1"/>
      <c r="R763" s="49"/>
      <c r="S763" s="1"/>
      <c r="T763" s="1"/>
      <c r="U763" s="83"/>
      <c r="V763" s="84"/>
      <c r="W763" s="1"/>
      <c r="Z763" s="3"/>
    </row>
    <row r="764" spans="1:26" s="85" customForma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65"/>
      <c r="O764" s="1"/>
      <c r="P764" s="79"/>
      <c r="Q764" s="1"/>
      <c r="R764" s="49"/>
      <c r="S764" s="1"/>
      <c r="T764" s="1"/>
      <c r="U764" s="83"/>
      <c r="V764" s="84"/>
      <c r="W764" s="1"/>
      <c r="Z764" s="3"/>
    </row>
    <row r="765" spans="1:26" s="85" customForma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65"/>
      <c r="O765" s="1"/>
      <c r="P765" s="79"/>
      <c r="Q765" s="1"/>
      <c r="R765" s="49"/>
      <c r="S765" s="1"/>
      <c r="T765" s="1"/>
      <c r="U765" s="83"/>
      <c r="V765" s="84"/>
      <c r="W765" s="1"/>
      <c r="Z765" s="3"/>
    </row>
    <row r="766" spans="1:26" s="85" customForma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65"/>
      <c r="O766" s="1"/>
      <c r="P766" s="79"/>
      <c r="Q766" s="1"/>
      <c r="R766" s="49"/>
      <c r="S766" s="1"/>
      <c r="T766" s="1"/>
      <c r="U766" s="83"/>
      <c r="V766" s="84"/>
      <c r="W766" s="1"/>
      <c r="Z766" s="3"/>
    </row>
    <row r="767" spans="1:26" s="85" customForma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65"/>
      <c r="O767" s="1"/>
      <c r="P767" s="79"/>
      <c r="Q767" s="1"/>
      <c r="R767" s="49"/>
      <c r="S767" s="1"/>
      <c r="T767" s="1"/>
      <c r="U767" s="83"/>
      <c r="V767" s="84"/>
      <c r="W767" s="1"/>
      <c r="Z767" s="3"/>
    </row>
    <row r="768" spans="1:26" s="85" customForma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65"/>
      <c r="O768" s="1"/>
      <c r="P768" s="79"/>
      <c r="Q768" s="1"/>
      <c r="R768" s="49"/>
      <c r="S768" s="1"/>
      <c r="T768" s="1"/>
      <c r="U768" s="83"/>
      <c r="V768" s="84"/>
      <c r="W768" s="1"/>
      <c r="Z768" s="3"/>
    </row>
    <row r="769" spans="1:26" s="85" customForma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65"/>
      <c r="O769" s="1"/>
      <c r="P769" s="79"/>
      <c r="Q769" s="1"/>
      <c r="R769" s="49"/>
      <c r="S769" s="1"/>
      <c r="T769" s="1"/>
      <c r="U769" s="83"/>
      <c r="V769" s="84"/>
      <c r="W769" s="1"/>
      <c r="Z769" s="3"/>
    </row>
    <row r="770" spans="1:26" s="85" customForma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65"/>
      <c r="O770" s="1"/>
      <c r="P770" s="79"/>
      <c r="Q770" s="1"/>
      <c r="R770" s="49"/>
      <c r="S770" s="1"/>
      <c r="T770" s="1"/>
      <c r="U770" s="83"/>
      <c r="V770" s="84"/>
      <c r="W770" s="1"/>
      <c r="Z770" s="3"/>
    </row>
    <row r="771" spans="1:26" s="85" customForma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65"/>
      <c r="O771" s="1"/>
      <c r="P771" s="79"/>
      <c r="Q771" s="1"/>
      <c r="R771" s="49"/>
      <c r="S771" s="1"/>
      <c r="T771" s="1"/>
      <c r="U771" s="83"/>
      <c r="V771" s="84"/>
      <c r="W771" s="1"/>
      <c r="Z771" s="3"/>
    </row>
    <row r="772" spans="1:26" s="85" customForma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65"/>
      <c r="O772" s="1"/>
      <c r="P772" s="79"/>
      <c r="Q772" s="1"/>
      <c r="R772" s="49"/>
      <c r="S772" s="1"/>
      <c r="T772" s="1"/>
      <c r="U772" s="83"/>
      <c r="V772" s="84"/>
      <c r="W772" s="1"/>
      <c r="Z772" s="3"/>
    </row>
    <row r="773" spans="1:26" s="85" customForma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65"/>
      <c r="O773" s="1"/>
      <c r="P773" s="79"/>
      <c r="Q773" s="1"/>
      <c r="R773" s="49"/>
      <c r="S773" s="1"/>
      <c r="T773" s="1"/>
      <c r="U773" s="83"/>
      <c r="V773" s="84"/>
      <c r="W773" s="1"/>
      <c r="Z773" s="3"/>
    </row>
    <row r="774" spans="1:26" s="85" customForma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65"/>
      <c r="O774" s="1"/>
      <c r="P774" s="79"/>
      <c r="Q774" s="1"/>
      <c r="R774" s="49"/>
      <c r="S774" s="1"/>
      <c r="T774" s="1"/>
      <c r="U774" s="83"/>
      <c r="V774" s="84"/>
      <c r="W774" s="1"/>
      <c r="Z774" s="3"/>
    </row>
    <row r="775" spans="1:26" s="85" customForma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65"/>
      <c r="O775" s="1"/>
      <c r="P775" s="79"/>
      <c r="Q775" s="1"/>
      <c r="R775" s="49"/>
      <c r="S775" s="1"/>
      <c r="T775" s="1"/>
      <c r="U775" s="83"/>
      <c r="V775" s="84"/>
      <c r="W775" s="1"/>
      <c r="Z775" s="3"/>
    </row>
    <row r="776" spans="1:26" s="85" customForma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65"/>
      <c r="O776" s="1"/>
      <c r="P776" s="79"/>
      <c r="Q776" s="1"/>
      <c r="R776" s="49"/>
      <c r="S776" s="1"/>
      <c r="T776" s="1"/>
      <c r="U776" s="83"/>
      <c r="V776" s="84"/>
      <c r="W776" s="1"/>
      <c r="Z776" s="3"/>
    </row>
    <row r="777" spans="1:26" s="85" customForma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65"/>
      <c r="O777" s="1"/>
      <c r="P777" s="79"/>
      <c r="Q777" s="1"/>
      <c r="R777" s="49"/>
      <c r="S777" s="1"/>
      <c r="T777" s="1"/>
      <c r="U777" s="83"/>
      <c r="V777" s="84"/>
      <c r="W777" s="1"/>
      <c r="Z777" s="3"/>
    </row>
    <row r="778" spans="1:26" s="85" customForma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65"/>
      <c r="O778" s="1"/>
      <c r="P778" s="79"/>
      <c r="Q778" s="1"/>
      <c r="R778" s="49"/>
      <c r="S778" s="1"/>
      <c r="T778" s="1"/>
      <c r="U778" s="83"/>
      <c r="V778" s="84"/>
      <c r="W778" s="1"/>
      <c r="Z778" s="3"/>
    </row>
    <row r="779" spans="1:26" s="85" customForma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65"/>
      <c r="O779" s="1"/>
      <c r="P779" s="79"/>
      <c r="Q779" s="1"/>
      <c r="R779" s="49"/>
      <c r="S779" s="1"/>
      <c r="T779" s="1"/>
      <c r="U779" s="83"/>
      <c r="V779" s="84"/>
      <c r="W779" s="1"/>
      <c r="Z779" s="3"/>
    </row>
    <row r="780" spans="1:26" s="85" customForma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65"/>
      <c r="O780" s="1"/>
      <c r="P780" s="79"/>
      <c r="Q780" s="1"/>
      <c r="R780" s="49"/>
      <c r="S780" s="1"/>
      <c r="T780" s="1"/>
      <c r="U780" s="83"/>
      <c r="V780" s="84"/>
      <c r="W780" s="1"/>
      <c r="Z780" s="3"/>
    </row>
    <row r="781" spans="1:26" s="85" customForma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65"/>
      <c r="O781" s="1"/>
      <c r="P781" s="79"/>
      <c r="Q781" s="1"/>
      <c r="R781" s="49"/>
      <c r="S781" s="1"/>
      <c r="T781" s="1"/>
      <c r="U781" s="83"/>
      <c r="V781" s="84"/>
      <c r="W781" s="1"/>
      <c r="Z781" s="3"/>
    </row>
    <row r="782" spans="1:26" s="85" customForma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65"/>
      <c r="O782" s="1"/>
      <c r="P782" s="79"/>
      <c r="Q782" s="1"/>
      <c r="R782" s="49"/>
      <c r="S782" s="1"/>
      <c r="T782" s="1"/>
      <c r="U782" s="83"/>
      <c r="V782" s="84"/>
      <c r="W782" s="1"/>
      <c r="Z782" s="3"/>
    </row>
    <row r="783" spans="1:26" s="85" customForma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65"/>
      <c r="O783" s="1"/>
      <c r="P783" s="79"/>
      <c r="Q783" s="1"/>
      <c r="R783" s="49"/>
      <c r="S783" s="1"/>
      <c r="T783" s="1"/>
      <c r="U783" s="83"/>
      <c r="V783" s="84"/>
      <c r="W783" s="1"/>
      <c r="Z783" s="3"/>
    </row>
    <row r="784" spans="1:26" s="85" customForma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65"/>
      <c r="O784" s="1"/>
      <c r="P784" s="79"/>
      <c r="Q784" s="1"/>
      <c r="R784" s="49"/>
      <c r="S784" s="1"/>
      <c r="T784" s="1"/>
      <c r="U784" s="83"/>
      <c r="V784" s="84"/>
      <c r="W784" s="1"/>
      <c r="Z784" s="3"/>
    </row>
    <row r="785" spans="1:26" s="85" customForma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65"/>
      <c r="O785" s="1"/>
      <c r="P785" s="79"/>
      <c r="Q785" s="1"/>
      <c r="R785" s="49"/>
      <c r="S785" s="1"/>
      <c r="T785" s="1"/>
      <c r="U785" s="83"/>
      <c r="V785" s="84"/>
      <c r="W785" s="1"/>
      <c r="Z785" s="3"/>
    </row>
    <row r="786" spans="1:26" s="85" customForma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65"/>
      <c r="O786" s="1"/>
      <c r="P786" s="79"/>
      <c r="Q786" s="1"/>
      <c r="R786" s="49"/>
      <c r="S786" s="1"/>
      <c r="T786" s="1"/>
      <c r="U786" s="83"/>
      <c r="V786" s="84"/>
      <c r="W786" s="1"/>
      <c r="Z786" s="3"/>
    </row>
    <row r="787" spans="1:26" s="85" customForma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65"/>
      <c r="O787" s="1"/>
      <c r="P787" s="79"/>
      <c r="Q787" s="1"/>
      <c r="R787" s="49"/>
      <c r="S787" s="1"/>
      <c r="T787" s="1"/>
      <c r="U787" s="83"/>
      <c r="V787" s="84"/>
      <c r="W787" s="1"/>
      <c r="Z787" s="3"/>
    </row>
    <row r="788" spans="1:26" s="85" customForma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65"/>
      <c r="O788" s="1"/>
      <c r="P788" s="79"/>
      <c r="Q788" s="1"/>
      <c r="R788" s="49"/>
      <c r="S788" s="1"/>
      <c r="T788" s="1"/>
      <c r="U788" s="83"/>
      <c r="V788" s="84"/>
      <c r="W788" s="1"/>
      <c r="Z788" s="3"/>
    </row>
    <row r="789" spans="1:26" s="85" customForma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65"/>
      <c r="O789" s="1"/>
      <c r="P789" s="79"/>
      <c r="Q789" s="1"/>
      <c r="R789" s="49"/>
      <c r="S789" s="1"/>
      <c r="T789" s="1"/>
      <c r="U789" s="83"/>
      <c r="V789" s="84"/>
      <c r="W789" s="1"/>
      <c r="Z789" s="3"/>
    </row>
    <row r="790" spans="1:26" s="85" customForma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65"/>
      <c r="O790" s="1"/>
      <c r="P790" s="79"/>
      <c r="Q790" s="1"/>
      <c r="R790" s="49"/>
      <c r="S790" s="1"/>
      <c r="T790" s="1"/>
      <c r="U790" s="83"/>
      <c r="V790" s="84"/>
      <c r="W790" s="1"/>
      <c r="Z790" s="3"/>
    </row>
    <row r="791" spans="1:26" s="85" customForma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65"/>
      <c r="O791" s="1"/>
      <c r="P791" s="79"/>
      <c r="Q791" s="1"/>
      <c r="R791" s="49"/>
      <c r="S791" s="1"/>
      <c r="T791" s="1"/>
      <c r="U791" s="83"/>
      <c r="V791" s="84"/>
      <c r="W791" s="1"/>
      <c r="Z791" s="3"/>
    </row>
    <row r="792" spans="1:26" s="85" customForma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65"/>
      <c r="O792" s="1"/>
      <c r="P792" s="79"/>
      <c r="Q792" s="1"/>
      <c r="R792" s="49"/>
      <c r="S792" s="1"/>
      <c r="T792" s="1"/>
      <c r="U792" s="83"/>
      <c r="V792" s="84"/>
      <c r="W792" s="1"/>
      <c r="Z792" s="3"/>
    </row>
    <row r="793" spans="1:26" s="85" customForma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65"/>
      <c r="O793" s="1"/>
      <c r="P793" s="79"/>
      <c r="Q793" s="1"/>
      <c r="R793" s="49"/>
      <c r="S793" s="1"/>
      <c r="T793" s="1"/>
      <c r="U793" s="83"/>
      <c r="V793" s="84"/>
      <c r="W793" s="1"/>
      <c r="Z793" s="3"/>
    </row>
    <row r="794" spans="1:26" s="83" customForma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65"/>
      <c r="O794" s="1"/>
      <c r="P794" s="79"/>
      <c r="Q794" s="1"/>
      <c r="R794" s="49"/>
      <c r="S794" s="1"/>
      <c r="T794" s="1"/>
      <c r="V794" s="84"/>
      <c r="W794" s="1"/>
      <c r="X794" s="85"/>
      <c r="Y794" s="85"/>
      <c r="Z794" s="3"/>
    </row>
    <row r="795" spans="1:26" s="83" customForma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65"/>
      <c r="O795" s="1"/>
      <c r="P795" s="79"/>
      <c r="Q795" s="1"/>
      <c r="R795" s="49"/>
      <c r="S795" s="1"/>
      <c r="T795" s="1"/>
      <c r="V795" s="84"/>
      <c r="W795" s="1"/>
      <c r="X795" s="85"/>
      <c r="Y795" s="85"/>
      <c r="Z795" s="3"/>
    </row>
    <row r="796" spans="1:26" s="83" customForma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65"/>
      <c r="O796" s="1"/>
      <c r="P796" s="79"/>
      <c r="Q796" s="1"/>
      <c r="R796" s="49"/>
      <c r="S796" s="1"/>
      <c r="T796" s="1"/>
      <c r="V796" s="84"/>
      <c r="W796" s="1"/>
      <c r="X796" s="85"/>
      <c r="Y796" s="85"/>
      <c r="Z796" s="3"/>
    </row>
    <row r="797" spans="1:26" s="83" customForma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65"/>
      <c r="O797" s="1"/>
      <c r="P797" s="79"/>
      <c r="Q797" s="1"/>
      <c r="R797" s="49"/>
      <c r="S797" s="1"/>
      <c r="T797" s="1"/>
      <c r="V797" s="84"/>
      <c r="W797" s="1"/>
      <c r="X797" s="85"/>
      <c r="Y797" s="85"/>
      <c r="Z797" s="3"/>
    </row>
    <row r="798" spans="1:26" s="83" customForma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65"/>
      <c r="O798" s="1"/>
      <c r="P798" s="79"/>
      <c r="Q798" s="1"/>
      <c r="R798" s="49"/>
      <c r="S798" s="1"/>
      <c r="T798" s="1"/>
      <c r="V798" s="84"/>
      <c r="W798" s="1"/>
      <c r="X798" s="85"/>
      <c r="Y798" s="85"/>
      <c r="Z798" s="3"/>
    </row>
    <row r="799" spans="1:26" s="83" customForma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65"/>
      <c r="O799" s="1"/>
      <c r="P799" s="79"/>
      <c r="Q799" s="1"/>
      <c r="R799" s="49"/>
      <c r="S799" s="1"/>
      <c r="T799" s="1"/>
      <c r="V799" s="84"/>
      <c r="W799" s="1"/>
      <c r="X799" s="85"/>
      <c r="Y799" s="85"/>
      <c r="Z799" s="3"/>
    </row>
    <row r="800" spans="1:26" s="83" customForma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65"/>
      <c r="O800" s="1"/>
      <c r="P800" s="79"/>
      <c r="Q800" s="1"/>
      <c r="R800" s="49"/>
      <c r="S800" s="1"/>
      <c r="T800" s="1"/>
      <c r="V800" s="84"/>
      <c r="W800" s="1"/>
      <c r="X800" s="85"/>
      <c r="Y800" s="85"/>
      <c r="Z800" s="3"/>
    </row>
    <row r="801" spans="1:26" s="83" customForma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65"/>
      <c r="O801" s="1"/>
      <c r="P801" s="79"/>
      <c r="Q801" s="1"/>
      <c r="R801" s="49"/>
      <c r="S801" s="1"/>
      <c r="T801" s="1"/>
      <c r="V801" s="84"/>
      <c r="W801" s="1"/>
      <c r="X801" s="85"/>
      <c r="Y801" s="85"/>
      <c r="Z801" s="3"/>
    </row>
    <row r="802" spans="1:26" s="83" customForma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65"/>
      <c r="O802" s="1"/>
      <c r="P802" s="79"/>
      <c r="Q802" s="1"/>
      <c r="R802" s="49"/>
      <c r="S802" s="1"/>
      <c r="T802" s="1"/>
      <c r="V802" s="84"/>
      <c r="W802" s="1"/>
      <c r="X802" s="85"/>
      <c r="Y802" s="85"/>
      <c r="Z802" s="3"/>
    </row>
    <row r="803" spans="1:26" s="83" customForma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65"/>
      <c r="O803" s="1"/>
      <c r="P803" s="79"/>
      <c r="Q803" s="1"/>
      <c r="R803" s="49"/>
      <c r="S803" s="1"/>
      <c r="T803" s="1"/>
      <c r="V803" s="84"/>
      <c r="W803" s="1"/>
      <c r="X803" s="85"/>
      <c r="Y803" s="85"/>
      <c r="Z803" s="3"/>
    </row>
    <row r="804" spans="1:26" s="83" customForma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65"/>
      <c r="O804" s="1"/>
      <c r="P804" s="79"/>
      <c r="Q804" s="1"/>
      <c r="R804" s="49"/>
      <c r="S804" s="1"/>
      <c r="T804" s="1"/>
      <c r="V804" s="84"/>
      <c r="W804" s="1"/>
      <c r="X804" s="85"/>
      <c r="Y804" s="85"/>
      <c r="Z804" s="3"/>
    </row>
    <row r="805" spans="1:26" s="83" customForma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65"/>
      <c r="O805" s="1"/>
      <c r="P805" s="79"/>
      <c r="Q805" s="1"/>
      <c r="R805" s="49"/>
      <c r="S805" s="1"/>
      <c r="T805" s="1"/>
      <c r="V805" s="84"/>
      <c r="W805" s="1"/>
      <c r="X805" s="85"/>
      <c r="Y805" s="85"/>
      <c r="Z805" s="3"/>
    </row>
    <row r="806" spans="1:26" s="83" customForma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65"/>
      <c r="O806" s="1"/>
      <c r="P806" s="79"/>
      <c r="Q806" s="1"/>
      <c r="R806" s="49"/>
      <c r="S806" s="1"/>
      <c r="T806" s="1"/>
      <c r="V806" s="84"/>
      <c r="W806" s="1"/>
      <c r="X806" s="85"/>
      <c r="Y806" s="85"/>
      <c r="Z806" s="3"/>
    </row>
    <row r="807" spans="1:26" s="83" customForma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65"/>
      <c r="O807" s="1"/>
      <c r="P807" s="79"/>
      <c r="Q807" s="1"/>
      <c r="R807" s="49"/>
      <c r="S807" s="1"/>
      <c r="T807" s="1"/>
      <c r="V807" s="84"/>
      <c r="W807" s="1"/>
      <c r="X807" s="85"/>
      <c r="Y807" s="85"/>
      <c r="Z807" s="3"/>
    </row>
    <row r="808" spans="1:26" s="83" customForma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65"/>
      <c r="O808" s="1"/>
      <c r="P808" s="79"/>
      <c r="Q808" s="1"/>
      <c r="R808" s="49"/>
      <c r="S808" s="1"/>
      <c r="T808" s="1"/>
      <c r="V808" s="84"/>
      <c r="W808" s="1"/>
      <c r="X808" s="85"/>
      <c r="Y808" s="85"/>
      <c r="Z808" s="3"/>
    </row>
    <row r="809" spans="1:26" s="83" customForma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65"/>
      <c r="O809" s="1"/>
      <c r="P809" s="79"/>
      <c r="Q809" s="1"/>
      <c r="R809" s="49"/>
      <c r="S809" s="1"/>
      <c r="T809" s="1"/>
      <c r="V809" s="84"/>
      <c r="W809" s="1"/>
      <c r="X809" s="85"/>
      <c r="Y809" s="85"/>
      <c r="Z809" s="3"/>
    </row>
    <row r="810" spans="1:26" s="83" customForma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65"/>
      <c r="O810" s="1"/>
      <c r="P810" s="79"/>
      <c r="Q810" s="1"/>
      <c r="R810" s="49"/>
      <c r="S810" s="1"/>
      <c r="T810" s="1"/>
      <c r="V810" s="84"/>
      <c r="W810" s="1"/>
      <c r="X810" s="85"/>
      <c r="Y810" s="85"/>
      <c r="Z810" s="3"/>
    </row>
    <row r="811" spans="1:26" s="83" customForma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65"/>
      <c r="O811" s="1"/>
      <c r="P811" s="79"/>
      <c r="Q811" s="1"/>
      <c r="R811" s="49"/>
      <c r="S811" s="1"/>
      <c r="T811" s="1"/>
      <c r="V811" s="84"/>
      <c r="W811" s="1"/>
      <c r="X811" s="85"/>
      <c r="Y811" s="85"/>
      <c r="Z811" s="3"/>
    </row>
    <row r="812" spans="1:26" s="83" customForma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65"/>
      <c r="O812" s="1"/>
      <c r="P812" s="79"/>
      <c r="Q812" s="1"/>
      <c r="R812" s="49"/>
      <c r="S812" s="1"/>
      <c r="T812" s="1"/>
      <c r="V812" s="84"/>
      <c r="W812" s="1"/>
      <c r="X812" s="85"/>
      <c r="Y812" s="85"/>
      <c r="Z812" s="3"/>
    </row>
    <row r="813" spans="1:26" s="83" customForma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65"/>
      <c r="O813" s="1"/>
      <c r="P813" s="79"/>
      <c r="Q813" s="1"/>
      <c r="R813" s="49"/>
      <c r="S813" s="1"/>
      <c r="T813" s="1"/>
      <c r="V813" s="84"/>
      <c r="W813" s="1"/>
      <c r="X813" s="85"/>
      <c r="Y813" s="85"/>
      <c r="Z813" s="3"/>
    </row>
    <row r="814" spans="1:26" s="83" customForma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65"/>
      <c r="O814" s="1"/>
      <c r="P814" s="79"/>
      <c r="Q814" s="1"/>
      <c r="R814" s="49"/>
      <c r="S814" s="1"/>
      <c r="T814" s="1"/>
      <c r="V814" s="84"/>
      <c r="W814" s="1"/>
      <c r="X814" s="85"/>
      <c r="Y814" s="85"/>
      <c r="Z814" s="3"/>
    </row>
    <row r="815" spans="1:26" s="83" customForma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65"/>
      <c r="O815" s="1"/>
      <c r="P815" s="79"/>
      <c r="Q815" s="1"/>
      <c r="R815" s="49"/>
      <c r="S815" s="1"/>
      <c r="T815" s="1"/>
      <c r="V815" s="84"/>
      <c r="W815" s="1"/>
      <c r="X815" s="85"/>
      <c r="Y815" s="85"/>
      <c r="Z815" s="3"/>
    </row>
    <row r="816" spans="1:26" s="83" customForma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65"/>
      <c r="O816" s="1"/>
      <c r="P816" s="79"/>
      <c r="Q816" s="1"/>
      <c r="R816" s="49"/>
      <c r="S816" s="1"/>
      <c r="T816" s="1"/>
      <c r="V816" s="84"/>
      <c r="W816" s="1"/>
      <c r="X816" s="85"/>
      <c r="Y816" s="85"/>
      <c r="Z816" s="3"/>
    </row>
    <row r="817" spans="1:26" s="83" customForma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65"/>
      <c r="O817" s="1"/>
      <c r="P817" s="79"/>
      <c r="Q817" s="1"/>
      <c r="R817" s="49"/>
      <c r="S817" s="1"/>
      <c r="T817" s="1"/>
      <c r="V817" s="84"/>
      <c r="W817" s="1"/>
      <c r="X817" s="85"/>
      <c r="Y817" s="85"/>
      <c r="Z817" s="3"/>
    </row>
    <row r="818" spans="1:26" s="83" customForma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65"/>
      <c r="O818" s="1"/>
      <c r="P818" s="79"/>
      <c r="Q818" s="1"/>
      <c r="R818" s="49"/>
      <c r="S818" s="1"/>
      <c r="T818" s="1"/>
      <c r="V818" s="84"/>
      <c r="W818" s="1"/>
      <c r="X818" s="85"/>
      <c r="Y818" s="85"/>
      <c r="Z818" s="3"/>
    </row>
    <row r="819" spans="1:26" s="83" customForma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65"/>
      <c r="O819" s="1"/>
      <c r="P819" s="79"/>
      <c r="Q819" s="1"/>
      <c r="R819" s="49"/>
      <c r="S819" s="1"/>
      <c r="T819" s="1"/>
      <c r="V819" s="84"/>
      <c r="W819" s="1"/>
      <c r="X819" s="85"/>
      <c r="Y819" s="85"/>
      <c r="Z819" s="3"/>
    </row>
    <row r="820" spans="1:26" s="83" customForma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65"/>
      <c r="O820" s="1"/>
      <c r="P820" s="79"/>
      <c r="Q820" s="1"/>
      <c r="R820" s="49"/>
      <c r="S820" s="1"/>
      <c r="T820" s="1"/>
      <c r="V820" s="84"/>
      <c r="W820" s="1"/>
      <c r="X820" s="85"/>
      <c r="Y820" s="85"/>
      <c r="Z820" s="3"/>
    </row>
    <row r="821" spans="1:26" s="83" customForma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65"/>
      <c r="O821" s="1"/>
      <c r="P821" s="79"/>
      <c r="Q821" s="1"/>
      <c r="R821" s="49"/>
      <c r="S821" s="1"/>
      <c r="T821" s="1"/>
      <c r="V821" s="84"/>
      <c r="W821" s="1"/>
      <c r="X821" s="85"/>
      <c r="Y821" s="85"/>
      <c r="Z821" s="3"/>
    </row>
    <row r="822" spans="1:26" s="83" customForma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65"/>
      <c r="O822" s="1"/>
      <c r="P822" s="79"/>
      <c r="Q822" s="1"/>
      <c r="R822" s="49"/>
      <c r="S822" s="1"/>
      <c r="T822" s="1"/>
      <c r="V822" s="84"/>
      <c r="W822" s="1"/>
      <c r="X822" s="85"/>
      <c r="Y822" s="85"/>
      <c r="Z822" s="3"/>
    </row>
    <row r="823" spans="1:26" s="83" customForma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65"/>
      <c r="O823" s="1"/>
      <c r="P823" s="79"/>
      <c r="Q823" s="1"/>
      <c r="R823" s="49"/>
      <c r="S823" s="1"/>
      <c r="T823" s="1"/>
      <c r="V823" s="84"/>
      <c r="W823" s="1"/>
      <c r="X823" s="85"/>
      <c r="Y823" s="85"/>
      <c r="Z823" s="3"/>
    </row>
    <row r="824" spans="1:26" s="83" customForma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65"/>
      <c r="O824" s="1"/>
      <c r="P824" s="79"/>
      <c r="Q824" s="1"/>
      <c r="R824" s="49"/>
      <c r="S824" s="1"/>
      <c r="T824" s="1"/>
      <c r="V824" s="84"/>
      <c r="W824" s="1"/>
      <c r="X824" s="85"/>
      <c r="Y824" s="85"/>
      <c r="Z824" s="3"/>
    </row>
    <row r="825" spans="1:26" s="83" customForma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65"/>
      <c r="O825" s="1"/>
      <c r="P825" s="79"/>
      <c r="Q825" s="1"/>
      <c r="R825" s="49"/>
      <c r="S825" s="1"/>
      <c r="T825" s="1"/>
      <c r="V825" s="84"/>
      <c r="W825" s="1"/>
      <c r="X825" s="85"/>
      <c r="Y825" s="85"/>
      <c r="Z825" s="3"/>
    </row>
    <row r="826" spans="1:26" s="83" customForma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65"/>
      <c r="O826" s="1"/>
      <c r="P826" s="79"/>
      <c r="Q826" s="1"/>
      <c r="R826" s="49"/>
      <c r="S826" s="1"/>
      <c r="T826" s="1"/>
      <c r="V826" s="84"/>
      <c r="W826" s="1"/>
      <c r="X826" s="85"/>
      <c r="Y826" s="85"/>
      <c r="Z826" s="3"/>
    </row>
    <row r="827" spans="1:26" s="83" customForma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65"/>
      <c r="O827" s="1"/>
      <c r="P827" s="79"/>
      <c r="Q827" s="1"/>
      <c r="R827" s="49"/>
      <c r="S827" s="1"/>
      <c r="T827" s="1"/>
      <c r="V827" s="84"/>
      <c r="W827" s="1"/>
      <c r="X827" s="85"/>
      <c r="Y827" s="85"/>
      <c r="Z827" s="3"/>
    </row>
    <row r="828" spans="1:26" s="83" customForma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65"/>
      <c r="O828" s="1"/>
      <c r="P828" s="79"/>
      <c r="Q828" s="1"/>
      <c r="R828" s="49"/>
      <c r="S828" s="1"/>
      <c r="T828" s="1"/>
      <c r="V828" s="84"/>
      <c r="W828" s="1"/>
      <c r="X828" s="85"/>
      <c r="Y828" s="85"/>
      <c r="Z828" s="3"/>
    </row>
    <row r="829" spans="1:26" s="83" customForma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65"/>
      <c r="O829" s="1"/>
      <c r="P829" s="79"/>
      <c r="Q829" s="1"/>
      <c r="R829" s="49"/>
      <c r="S829" s="1"/>
      <c r="T829" s="1"/>
      <c r="V829" s="84"/>
      <c r="W829" s="1"/>
      <c r="X829" s="85"/>
      <c r="Y829" s="85"/>
      <c r="Z829" s="3"/>
    </row>
    <row r="830" spans="1:26" s="83" customForma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65"/>
      <c r="O830" s="1"/>
      <c r="P830" s="79"/>
      <c r="Q830" s="1"/>
      <c r="R830" s="49"/>
      <c r="S830" s="1"/>
      <c r="T830" s="1"/>
      <c r="V830" s="84"/>
      <c r="W830" s="1"/>
      <c r="X830" s="85"/>
      <c r="Y830" s="85"/>
      <c r="Z830" s="3"/>
    </row>
    <row r="831" spans="1:26" s="83" customForma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65"/>
      <c r="O831" s="1"/>
      <c r="P831" s="79"/>
      <c r="Q831" s="1"/>
      <c r="R831" s="49"/>
      <c r="S831" s="1"/>
      <c r="T831" s="1"/>
      <c r="V831" s="84"/>
      <c r="W831" s="1"/>
      <c r="X831" s="85"/>
      <c r="Y831" s="85"/>
      <c r="Z831" s="3"/>
    </row>
    <row r="832" spans="1:26" s="83" customForma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65"/>
      <c r="O832" s="1"/>
      <c r="P832" s="79"/>
      <c r="Q832" s="1"/>
      <c r="R832" s="49"/>
      <c r="S832" s="1"/>
      <c r="T832" s="1"/>
      <c r="V832" s="84"/>
      <c r="W832" s="1"/>
      <c r="X832" s="85"/>
      <c r="Y832" s="85"/>
      <c r="Z832" s="3"/>
    </row>
    <row r="833" spans="1:26" s="83" customForma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65"/>
      <c r="O833" s="1"/>
      <c r="P833" s="79"/>
      <c r="Q833" s="1"/>
      <c r="R833" s="49"/>
      <c r="S833" s="1"/>
      <c r="T833" s="1"/>
      <c r="V833" s="84"/>
      <c r="W833" s="1"/>
      <c r="X833" s="85"/>
      <c r="Y833" s="85"/>
      <c r="Z833" s="3"/>
    </row>
    <row r="834" spans="1:26" s="83" customForma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65"/>
      <c r="O834" s="1"/>
      <c r="P834" s="79"/>
      <c r="Q834" s="1"/>
      <c r="R834" s="49"/>
      <c r="S834" s="1"/>
      <c r="T834" s="1"/>
      <c r="V834" s="84"/>
      <c r="W834" s="1"/>
      <c r="X834" s="85"/>
      <c r="Y834" s="85"/>
      <c r="Z834" s="3"/>
    </row>
    <row r="835" spans="1:26" s="83" customForma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65"/>
      <c r="O835" s="1"/>
      <c r="P835" s="79"/>
      <c r="Q835" s="1"/>
      <c r="R835" s="49"/>
      <c r="S835" s="1"/>
      <c r="T835" s="1"/>
      <c r="V835" s="84"/>
      <c r="W835" s="1"/>
      <c r="X835" s="85"/>
      <c r="Y835" s="85"/>
      <c r="Z835" s="3"/>
    </row>
    <row r="836" spans="1:26" s="83" customForma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65"/>
      <c r="O836" s="1"/>
      <c r="P836" s="79"/>
      <c r="Q836" s="1"/>
      <c r="R836" s="49"/>
      <c r="S836" s="1"/>
      <c r="T836" s="1"/>
      <c r="V836" s="84"/>
      <c r="W836" s="1"/>
      <c r="X836" s="85"/>
      <c r="Y836" s="85"/>
      <c r="Z836" s="3"/>
    </row>
    <row r="837" spans="1:26" s="83" customForma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65"/>
      <c r="O837" s="1"/>
      <c r="P837" s="79"/>
      <c r="Q837" s="1"/>
      <c r="R837" s="49"/>
      <c r="S837" s="1"/>
      <c r="T837" s="1"/>
      <c r="V837" s="84"/>
      <c r="W837" s="1"/>
      <c r="X837" s="85"/>
      <c r="Y837" s="85"/>
      <c r="Z837" s="3"/>
    </row>
    <row r="838" spans="1:26" s="83" customForma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65"/>
      <c r="O838" s="1"/>
      <c r="P838" s="79"/>
      <c r="Q838" s="1"/>
      <c r="R838" s="49"/>
      <c r="S838" s="1"/>
      <c r="T838" s="1"/>
      <c r="V838" s="84"/>
      <c r="W838" s="1"/>
      <c r="X838" s="85"/>
      <c r="Y838" s="85"/>
      <c r="Z838" s="3"/>
    </row>
    <row r="839" spans="1:26" s="83" customForma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65"/>
      <c r="O839" s="1"/>
      <c r="P839" s="79"/>
      <c r="Q839" s="1"/>
      <c r="R839" s="49"/>
      <c r="S839" s="1"/>
      <c r="T839" s="1"/>
      <c r="V839" s="84"/>
      <c r="W839" s="1"/>
      <c r="X839" s="85"/>
      <c r="Y839" s="85"/>
      <c r="Z839" s="3"/>
    </row>
    <row r="840" spans="1:26" s="83" customForma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65"/>
      <c r="O840" s="1"/>
      <c r="P840" s="79"/>
      <c r="Q840" s="1"/>
      <c r="R840" s="49"/>
      <c r="S840" s="1"/>
      <c r="T840" s="1"/>
      <c r="V840" s="84"/>
      <c r="W840" s="1"/>
      <c r="X840" s="85"/>
      <c r="Y840" s="85"/>
      <c r="Z840" s="3"/>
    </row>
    <row r="841" spans="1:26" s="83" customForma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65"/>
      <c r="O841" s="1"/>
      <c r="P841" s="79"/>
      <c r="Q841" s="1"/>
      <c r="R841" s="49"/>
      <c r="S841" s="1"/>
      <c r="T841" s="1"/>
      <c r="V841" s="84"/>
      <c r="W841" s="1"/>
      <c r="X841" s="85"/>
      <c r="Y841" s="85"/>
      <c r="Z841" s="3"/>
    </row>
    <row r="842" spans="1:26" s="83" customForma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65"/>
      <c r="O842" s="1"/>
      <c r="P842" s="79"/>
      <c r="Q842" s="1"/>
      <c r="R842" s="49"/>
      <c r="S842" s="1"/>
      <c r="T842" s="1"/>
      <c r="V842" s="84"/>
      <c r="W842" s="1"/>
      <c r="X842" s="85"/>
      <c r="Y842" s="85"/>
      <c r="Z842" s="3"/>
    </row>
    <row r="843" spans="1:26" s="83" customForma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65"/>
      <c r="O843" s="1"/>
      <c r="P843" s="79"/>
      <c r="Q843" s="1"/>
      <c r="R843" s="49"/>
      <c r="S843" s="1"/>
      <c r="T843" s="1"/>
      <c r="V843" s="84"/>
      <c r="W843" s="1"/>
      <c r="X843" s="85"/>
      <c r="Y843" s="85"/>
      <c r="Z843" s="3"/>
    </row>
    <row r="844" spans="1:26" s="83" customForma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65"/>
      <c r="O844" s="1"/>
      <c r="P844" s="79"/>
      <c r="Q844" s="1"/>
      <c r="R844" s="49"/>
      <c r="S844" s="1"/>
      <c r="T844" s="1"/>
      <c r="V844" s="84"/>
      <c r="W844" s="1"/>
      <c r="X844" s="85"/>
      <c r="Y844" s="85"/>
      <c r="Z844" s="3"/>
    </row>
    <row r="845" spans="1:26" s="83" customForma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65"/>
      <c r="O845" s="1"/>
      <c r="P845" s="79"/>
      <c r="Q845" s="1"/>
      <c r="R845" s="49"/>
      <c r="S845" s="1"/>
      <c r="T845" s="1"/>
      <c r="V845" s="84"/>
      <c r="W845" s="1"/>
      <c r="X845" s="85"/>
      <c r="Y845" s="85"/>
      <c r="Z845" s="3"/>
    </row>
    <row r="846" spans="1:26" s="83" customForma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65"/>
      <c r="O846" s="1"/>
      <c r="P846" s="79"/>
      <c r="Q846" s="1"/>
      <c r="R846" s="49"/>
      <c r="S846" s="1"/>
      <c r="T846" s="1"/>
      <c r="V846" s="84"/>
      <c r="W846" s="1"/>
      <c r="X846" s="85"/>
      <c r="Y846" s="85"/>
      <c r="Z846" s="3"/>
    </row>
    <row r="847" spans="1:26" s="83" customForma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65"/>
      <c r="O847" s="1"/>
      <c r="P847" s="79"/>
      <c r="Q847" s="1"/>
      <c r="R847" s="49"/>
      <c r="S847" s="1"/>
      <c r="T847" s="1"/>
      <c r="V847" s="84"/>
      <c r="W847" s="1"/>
      <c r="X847" s="85"/>
      <c r="Y847" s="85"/>
      <c r="Z847" s="3"/>
    </row>
    <row r="848" spans="1:26" s="83" customForma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65"/>
      <c r="O848" s="1"/>
      <c r="P848" s="79"/>
      <c r="Q848" s="1"/>
      <c r="R848" s="49"/>
      <c r="S848" s="1"/>
      <c r="T848" s="1"/>
      <c r="V848" s="84"/>
      <c r="W848" s="1"/>
      <c r="X848" s="85"/>
      <c r="Y848" s="85"/>
      <c r="Z848" s="3"/>
    </row>
    <row r="849" spans="1:26" s="83" customForma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65"/>
      <c r="O849" s="1"/>
      <c r="P849" s="79"/>
      <c r="Q849" s="1"/>
      <c r="R849" s="49"/>
      <c r="S849" s="1"/>
      <c r="T849" s="1"/>
      <c r="V849" s="84"/>
      <c r="W849" s="1"/>
      <c r="X849" s="85"/>
      <c r="Y849" s="85"/>
      <c r="Z849" s="3"/>
    </row>
    <row r="850" spans="1:26" s="83" customForma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65"/>
      <c r="O850" s="1"/>
      <c r="P850" s="79"/>
      <c r="Q850" s="1"/>
      <c r="R850" s="49"/>
      <c r="S850" s="1"/>
      <c r="T850" s="1"/>
      <c r="V850" s="84"/>
      <c r="W850" s="1"/>
      <c r="X850" s="85"/>
      <c r="Y850" s="85"/>
      <c r="Z850" s="3"/>
    </row>
    <row r="851" spans="1:26" s="83" customForma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65"/>
      <c r="O851" s="1"/>
      <c r="P851" s="79"/>
      <c r="Q851" s="1"/>
      <c r="R851" s="49"/>
      <c r="S851" s="1"/>
      <c r="T851" s="1"/>
      <c r="V851" s="84"/>
      <c r="W851" s="1"/>
      <c r="X851" s="85"/>
      <c r="Y851" s="85"/>
      <c r="Z851" s="3"/>
    </row>
    <row r="852" spans="1:26" s="83" customForma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65"/>
      <c r="O852" s="1"/>
      <c r="P852" s="79"/>
      <c r="Q852" s="1"/>
      <c r="R852" s="49"/>
      <c r="S852" s="1"/>
      <c r="T852" s="1"/>
      <c r="V852" s="84"/>
      <c r="W852" s="1"/>
      <c r="X852" s="85"/>
      <c r="Y852" s="85"/>
      <c r="Z852" s="3"/>
    </row>
    <row r="853" spans="1:26" s="83" customForma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65"/>
      <c r="O853" s="1"/>
      <c r="P853" s="79"/>
      <c r="Q853" s="1"/>
      <c r="R853" s="49"/>
      <c r="S853" s="1"/>
      <c r="T853" s="1"/>
      <c r="V853" s="84"/>
      <c r="W853" s="1"/>
      <c r="X853" s="85"/>
      <c r="Y853" s="85"/>
      <c r="Z853" s="3"/>
    </row>
    <row r="854" spans="1:26" s="83" customForma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65"/>
      <c r="O854" s="1"/>
      <c r="P854" s="79"/>
      <c r="Q854" s="1"/>
      <c r="R854" s="49"/>
      <c r="S854" s="1"/>
      <c r="T854" s="1"/>
      <c r="V854" s="84"/>
      <c r="W854" s="1"/>
      <c r="X854" s="85"/>
      <c r="Y854" s="85"/>
      <c r="Z854" s="3"/>
    </row>
    <row r="855" spans="1:26" s="83" customForma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65"/>
      <c r="O855" s="1"/>
      <c r="P855" s="79"/>
      <c r="Q855" s="1"/>
      <c r="R855" s="49"/>
      <c r="S855" s="1"/>
      <c r="T855" s="1"/>
      <c r="V855" s="84"/>
      <c r="W855" s="1"/>
      <c r="X855" s="85"/>
      <c r="Y855" s="85"/>
      <c r="Z855" s="3"/>
    </row>
    <row r="856" spans="1:26" s="83" customForma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65"/>
      <c r="O856" s="1"/>
      <c r="P856" s="79"/>
      <c r="Q856" s="1"/>
      <c r="R856" s="49"/>
      <c r="S856" s="1"/>
      <c r="T856" s="1"/>
      <c r="V856" s="84"/>
      <c r="W856" s="1"/>
      <c r="X856" s="85"/>
      <c r="Y856" s="85"/>
      <c r="Z856" s="3"/>
    </row>
    <row r="857" spans="1:26" s="83" customForma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65"/>
      <c r="O857" s="1"/>
      <c r="P857" s="79"/>
      <c r="Q857" s="1"/>
      <c r="R857" s="49"/>
      <c r="S857" s="1"/>
      <c r="T857" s="1"/>
      <c r="V857" s="84"/>
      <c r="W857" s="1"/>
      <c r="X857" s="85"/>
      <c r="Y857" s="85"/>
      <c r="Z857" s="3"/>
    </row>
    <row r="858" spans="1:26" s="83" customForma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65"/>
      <c r="O858" s="1"/>
      <c r="P858" s="79"/>
      <c r="Q858" s="1"/>
      <c r="R858" s="49"/>
      <c r="S858" s="1"/>
      <c r="T858" s="1"/>
      <c r="V858" s="84"/>
      <c r="W858" s="1"/>
      <c r="X858" s="85"/>
      <c r="Y858" s="85"/>
      <c r="Z858" s="3"/>
    </row>
    <row r="859" spans="1:26" s="83" customForma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65"/>
      <c r="O859" s="1"/>
      <c r="P859" s="79"/>
      <c r="Q859" s="1"/>
      <c r="R859" s="49"/>
      <c r="S859" s="1"/>
      <c r="T859" s="1"/>
      <c r="V859" s="84"/>
      <c r="W859" s="1"/>
      <c r="X859" s="85"/>
      <c r="Y859" s="85"/>
      <c r="Z859" s="3"/>
    </row>
    <row r="860" spans="1:26" s="83" customForma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65"/>
      <c r="O860" s="1"/>
      <c r="P860" s="79"/>
      <c r="Q860" s="1"/>
      <c r="R860" s="49"/>
      <c r="S860" s="1"/>
      <c r="T860" s="1"/>
      <c r="V860" s="84"/>
      <c r="W860" s="1"/>
      <c r="X860" s="85"/>
      <c r="Y860" s="85"/>
      <c r="Z860" s="3"/>
    </row>
    <row r="861" spans="1:26" s="83" customForma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65"/>
      <c r="O861" s="1"/>
      <c r="P861" s="79"/>
      <c r="Q861" s="1"/>
      <c r="R861" s="49"/>
      <c r="S861" s="1"/>
      <c r="T861" s="1"/>
      <c r="V861" s="84"/>
      <c r="W861" s="1"/>
      <c r="X861" s="85"/>
      <c r="Y861" s="85"/>
      <c r="Z861" s="3"/>
    </row>
    <row r="862" spans="1:26" s="83" customForma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65"/>
      <c r="O862" s="1"/>
      <c r="P862" s="79"/>
      <c r="Q862" s="1"/>
      <c r="R862" s="49"/>
      <c r="S862" s="1"/>
      <c r="T862" s="1"/>
      <c r="V862" s="84"/>
      <c r="W862" s="1"/>
      <c r="X862" s="85"/>
      <c r="Y862" s="85"/>
      <c r="Z862" s="3"/>
    </row>
    <row r="863" spans="1:26" s="83" customForma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65"/>
      <c r="O863" s="1"/>
      <c r="P863" s="79"/>
      <c r="Q863" s="1"/>
      <c r="R863" s="49"/>
      <c r="S863" s="1"/>
      <c r="T863" s="1"/>
      <c r="V863" s="84"/>
      <c r="W863" s="1"/>
      <c r="X863" s="85"/>
      <c r="Y863" s="85"/>
      <c r="Z863" s="3"/>
    </row>
    <row r="864" spans="1:26" s="83" customForma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65"/>
      <c r="O864" s="1"/>
      <c r="P864" s="79"/>
      <c r="Q864" s="1"/>
      <c r="R864" s="49"/>
      <c r="S864" s="1"/>
      <c r="T864" s="1"/>
      <c r="V864" s="84"/>
      <c r="W864" s="1"/>
      <c r="X864" s="85"/>
      <c r="Y864" s="85"/>
      <c r="Z864" s="3"/>
    </row>
    <row r="865" spans="1:26" s="83" customForma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65"/>
      <c r="O865" s="1"/>
      <c r="P865" s="79"/>
      <c r="Q865" s="1"/>
      <c r="R865" s="49"/>
      <c r="S865" s="1"/>
      <c r="T865" s="1"/>
      <c r="V865" s="84"/>
      <c r="W865" s="1"/>
      <c r="X865" s="85"/>
      <c r="Y865" s="85"/>
      <c r="Z865" s="3"/>
    </row>
    <row r="866" spans="1:26" s="83" customForma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65"/>
      <c r="O866" s="1"/>
      <c r="P866" s="79"/>
      <c r="Q866" s="1"/>
      <c r="R866" s="49"/>
      <c r="S866" s="1"/>
      <c r="T866" s="1"/>
      <c r="V866" s="84"/>
      <c r="W866" s="1"/>
      <c r="X866" s="85"/>
      <c r="Y866" s="85"/>
      <c r="Z866" s="3"/>
    </row>
    <row r="867" spans="1:26" s="83" customForma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65"/>
      <c r="O867" s="1"/>
      <c r="P867" s="79"/>
      <c r="Q867" s="1"/>
      <c r="R867" s="49"/>
      <c r="S867" s="1"/>
      <c r="T867" s="1"/>
      <c r="V867" s="84"/>
      <c r="W867" s="1"/>
      <c r="X867" s="85"/>
      <c r="Y867" s="85"/>
      <c r="Z867" s="3"/>
    </row>
    <row r="868" spans="1:26" s="83" customForma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65"/>
      <c r="O868" s="1"/>
      <c r="P868" s="79"/>
      <c r="Q868" s="1"/>
      <c r="R868" s="49"/>
      <c r="S868" s="1"/>
      <c r="T868" s="1"/>
      <c r="V868" s="84"/>
      <c r="W868" s="1"/>
      <c r="X868" s="85"/>
      <c r="Y868" s="85"/>
      <c r="Z868" s="3"/>
    </row>
    <row r="869" spans="1:26" s="83" customForma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65"/>
      <c r="O869" s="1"/>
      <c r="P869" s="79"/>
      <c r="Q869" s="1"/>
      <c r="R869" s="49"/>
      <c r="S869" s="1"/>
      <c r="T869" s="1"/>
      <c r="V869" s="84"/>
      <c r="W869" s="1"/>
      <c r="X869" s="85"/>
      <c r="Y869" s="85"/>
      <c r="Z869" s="3"/>
    </row>
    <row r="870" spans="1:26" s="83" customForma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65"/>
      <c r="O870" s="1"/>
      <c r="P870" s="79"/>
      <c r="Q870" s="1"/>
      <c r="R870" s="49"/>
      <c r="S870" s="1"/>
      <c r="T870" s="1"/>
      <c r="V870" s="84"/>
      <c r="W870" s="1"/>
      <c r="X870" s="85"/>
      <c r="Y870" s="85"/>
      <c r="Z870" s="3"/>
    </row>
    <row r="871" spans="1:26" s="83" customForma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65"/>
      <c r="O871" s="1"/>
      <c r="P871" s="79"/>
      <c r="Q871" s="1"/>
      <c r="R871" s="49"/>
      <c r="S871" s="1"/>
      <c r="T871" s="1"/>
      <c r="V871" s="84"/>
      <c r="W871" s="1"/>
      <c r="X871" s="85"/>
      <c r="Y871" s="85"/>
      <c r="Z871" s="3"/>
    </row>
    <row r="872" spans="1:26" s="83" customForma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65"/>
      <c r="O872" s="1"/>
      <c r="P872" s="79"/>
      <c r="Q872" s="1"/>
      <c r="R872" s="49"/>
      <c r="S872" s="1"/>
      <c r="T872" s="1"/>
      <c r="V872" s="84"/>
      <c r="W872" s="1"/>
      <c r="X872" s="85"/>
      <c r="Y872" s="85"/>
      <c r="Z872" s="3"/>
    </row>
    <row r="873" spans="1:26" s="83" customForma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65"/>
      <c r="O873" s="1"/>
      <c r="P873" s="79"/>
      <c r="Q873" s="1"/>
      <c r="R873" s="49"/>
      <c r="S873" s="1"/>
      <c r="T873" s="1"/>
      <c r="V873" s="84"/>
      <c r="W873" s="1"/>
      <c r="X873" s="85"/>
      <c r="Y873" s="85"/>
      <c r="Z873" s="3"/>
    </row>
    <row r="874" spans="1:26" s="83" customForma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65"/>
      <c r="O874" s="1"/>
      <c r="P874" s="79"/>
      <c r="Q874" s="1"/>
      <c r="R874" s="49"/>
      <c r="S874" s="1"/>
      <c r="T874" s="1"/>
      <c r="V874" s="84"/>
      <c r="W874" s="1"/>
      <c r="X874" s="85"/>
      <c r="Y874" s="85"/>
      <c r="Z874" s="3"/>
    </row>
    <row r="875" spans="1:26" s="83" customForma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65"/>
      <c r="O875" s="1"/>
      <c r="P875" s="79"/>
      <c r="Q875" s="1"/>
      <c r="R875" s="49"/>
      <c r="S875" s="1"/>
      <c r="T875" s="1"/>
      <c r="V875" s="84"/>
      <c r="W875" s="1"/>
      <c r="X875" s="85"/>
      <c r="Y875" s="85"/>
      <c r="Z875" s="3"/>
    </row>
    <row r="876" spans="1:26" s="83" customForma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65"/>
      <c r="O876" s="1"/>
      <c r="P876" s="79"/>
      <c r="Q876" s="1"/>
      <c r="R876" s="49"/>
      <c r="S876" s="1"/>
      <c r="T876" s="1"/>
      <c r="V876" s="84"/>
      <c r="W876" s="1"/>
      <c r="X876" s="85"/>
      <c r="Y876" s="85"/>
      <c r="Z876" s="3"/>
    </row>
    <row r="877" spans="1:26" s="83" customForma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65"/>
      <c r="O877" s="1"/>
      <c r="P877" s="79"/>
      <c r="Q877" s="1"/>
      <c r="R877" s="49"/>
      <c r="S877" s="1"/>
      <c r="T877" s="1"/>
      <c r="V877" s="84"/>
      <c r="W877" s="1"/>
      <c r="X877" s="85"/>
      <c r="Y877" s="85"/>
      <c r="Z877" s="3"/>
    </row>
    <row r="878" spans="1:26" s="83" customForma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65"/>
      <c r="O878" s="1"/>
      <c r="P878" s="79"/>
      <c r="Q878" s="1"/>
      <c r="R878" s="49"/>
      <c r="S878" s="1"/>
      <c r="T878" s="1"/>
      <c r="V878" s="84"/>
      <c r="W878" s="1"/>
      <c r="X878" s="85"/>
      <c r="Y878" s="85"/>
      <c r="Z878" s="3"/>
    </row>
    <row r="879" spans="1:26" s="83" customForma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65"/>
      <c r="O879" s="1"/>
      <c r="P879" s="79"/>
      <c r="Q879" s="1"/>
      <c r="R879" s="49"/>
      <c r="S879" s="1"/>
      <c r="T879" s="1"/>
      <c r="V879" s="84"/>
      <c r="W879" s="1"/>
      <c r="X879" s="85"/>
      <c r="Y879" s="85"/>
      <c r="Z879" s="3"/>
    </row>
    <row r="880" spans="1:26" s="83" customForma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65"/>
      <c r="O880" s="1"/>
      <c r="P880" s="79"/>
      <c r="Q880" s="1"/>
      <c r="R880" s="49"/>
      <c r="S880" s="1"/>
      <c r="T880" s="1"/>
      <c r="V880" s="84"/>
      <c r="W880" s="1"/>
      <c r="X880" s="85"/>
      <c r="Y880" s="85"/>
      <c r="Z880" s="3"/>
    </row>
    <row r="881" spans="1:26" s="83" customForma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65"/>
      <c r="O881" s="1"/>
      <c r="P881" s="79"/>
      <c r="Q881" s="1"/>
      <c r="R881" s="49"/>
      <c r="S881" s="1"/>
      <c r="T881" s="1"/>
      <c r="V881" s="84"/>
      <c r="W881" s="1"/>
      <c r="X881" s="85"/>
      <c r="Y881" s="85"/>
      <c r="Z881" s="3"/>
    </row>
    <row r="882" spans="1:26" s="83" customForma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65"/>
      <c r="O882" s="1"/>
      <c r="P882" s="79"/>
      <c r="Q882" s="1"/>
      <c r="R882" s="49"/>
      <c r="S882" s="1"/>
      <c r="T882" s="1"/>
      <c r="V882" s="84"/>
      <c r="W882" s="1"/>
      <c r="X882" s="85"/>
      <c r="Y882" s="85"/>
      <c r="Z882" s="3"/>
    </row>
    <row r="883" spans="1:26" s="83" customForma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65"/>
      <c r="O883" s="1"/>
      <c r="P883" s="79"/>
      <c r="Q883" s="1"/>
      <c r="R883" s="49"/>
      <c r="S883" s="1"/>
      <c r="T883" s="1"/>
      <c r="V883" s="84"/>
      <c r="W883" s="1"/>
      <c r="X883" s="85"/>
      <c r="Y883" s="85"/>
      <c r="Z883" s="3"/>
    </row>
    <row r="884" spans="1:26" s="83" customForma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65"/>
      <c r="O884" s="1"/>
      <c r="P884" s="79"/>
      <c r="Q884" s="1"/>
      <c r="R884" s="49"/>
      <c r="S884" s="1"/>
      <c r="T884" s="1"/>
      <c r="V884" s="84"/>
      <c r="W884" s="1"/>
      <c r="X884" s="85"/>
      <c r="Y884" s="85"/>
      <c r="Z884" s="3"/>
    </row>
    <row r="885" spans="1:26" s="83" customForma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65"/>
      <c r="O885" s="1"/>
      <c r="P885" s="79"/>
      <c r="Q885" s="1"/>
      <c r="R885" s="49"/>
      <c r="S885" s="1"/>
      <c r="T885" s="1"/>
      <c r="V885" s="84"/>
      <c r="W885" s="1"/>
      <c r="X885" s="85"/>
      <c r="Y885" s="85"/>
      <c r="Z885" s="3"/>
    </row>
    <row r="886" spans="1:26" s="83" customForma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65"/>
      <c r="O886" s="1"/>
      <c r="P886" s="79"/>
      <c r="Q886" s="1"/>
      <c r="R886" s="49"/>
      <c r="S886" s="1"/>
      <c r="T886" s="1"/>
      <c r="V886" s="84"/>
      <c r="W886" s="1"/>
      <c r="X886" s="85"/>
      <c r="Y886" s="85"/>
      <c r="Z886" s="3"/>
    </row>
    <row r="887" spans="1:26" s="83" customForma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65"/>
      <c r="O887" s="1"/>
      <c r="P887" s="79"/>
      <c r="Q887" s="1"/>
      <c r="R887" s="49"/>
      <c r="S887" s="1"/>
      <c r="T887" s="1"/>
      <c r="V887" s="84"/>
      <c r="W887" s="1"/>
      <c r="X887" s="85"/>
      <c r="Y887" s="85"/>
      <c r="Z887" s="3"/>
    </row>
    <row r="888" spans="1:26" s="83" customForma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65"/>
      <c r="O888" s="1"/>
      <c r="P888" s="79"/>
      <c r="Q888" s="1"/>
      <c r="R888" s="49"/>
      <c r="S888" s="1"/>
      <c r="T888" s="1"/>
      <c r="V888" s="84"/>
      <c r="W888" s="1"/>
      <c r="X888" s="85"/>
      <c r="Y888" s="85"/>
      <c r="Z888" s="3"/>
    </row>
    <row r="889" spans="1:26" s="83" customForma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65"/>
      <c r="O889" s="1"/>
      <c r="P889" s="79"/>
      <c r="Q889" s="1"/>
      <c r="R889" s="49"/>
      <c r="S889" s="1"/>
      <c r="T889" s="1"/>
      <c r="V889" s="84"/>
      <c r="W889" s="1"/>
      <c r="X889" s="85"/>
      <c r="Y889" s="85"/>
      <c r="Z889" s="3"/>
    </row>
    <row r="890" spans="1:26" s="83" customForma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65"/>
      <c r="O890" s="1"/>
      <c r="P890" s="79"/>
      <c r="Q890" s="1"/>
      <c r="R890" s="49"/>
      <c r="S890" s="1"/>
      <c r="T890" s="1"/>
      <c r="V890" s="84"/>
      <c r="W890" s="1"/>
      <c r="X890" s="85"/>
      <c r="Y890" s="85"/>
      <c r="Z890" s="3"/>
    </row>
    <row r="891" spans="1:26" s="83" customForma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65"/>
      <c r="O891" s="1"/>
      <c r="P891" s="79"/>
      <c r="Q891" s="1"/>
      <c r="R891" s="49"/>
      <c r="S891" s="1"/>
      <c r="T891" s="1"/>
      <c r="V891" s="84"/>
      <c r="W891" s="1"/>
      <c r="X891" s="85"/>
      <c r="Y891" s="85"/>
      <c r="Z891" s="3"/>
    </row>
    <row r="892" spans="1:26" s="83" customForma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65"/>
      <c r="O892" s="1"/>
      <c r="P892" s="79"/>
      <c r="Q892" s="1"/>
      <c r="R892" s="49"/>
      <c r="S892" s="1"/>
      <c r="T892" s="1"/>
      <c r="V892" s="84"/>
      <c r="W892" s="1"/>
      <c r="X892" s="85"/>
      <c r="Y892" s="85"/>
      <c r="Z892" s="3"/>
    </row>
    <row r="893" spans="1:26" s="83" customForma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65"/>
      <c r="O893" s="1"/>
      <c r="P893" s="79"/>
      <c r="Q893" s="1"/>
      <c r="R893" s="49"/>
      <c r="S893" s="1"/>
      <c r="T893" s="1"/>
      <c r="V893" s="84"/>
      <c r="W893" s="1"/>
      <c r="X893" s="85"/>
      <c r="Y893" s="85"/>
      <c r="Z893" s="3"/>
    </row>
    <row r="894" spans="1:26" s="83" customForma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65"/>
      <c r="O894" s="1"/>
      <c r="P894" s="79"/>
      <c r="Q894" s="1"/>
      <c r="R894" s="49"/>
      <c r="S894" s="1"/>
      <c r="T894" s="1"/>
      <c r="V894" s="84"/>
      <c r="W894" s="1"/>
      <c r="X894" s="85"/>
      <c r="Y894" s="85"/>
      <c r="Z894" s="3"/>
    </row>
  </sheetData>
  <mergeCells count="449">
    <mergeCell ref="A1:Z1"/>
    <mergeCell ref="A3:J3"/>
    <mergeCell ref="A4:K5"/>
    <mergeCell ref="M17:X17"/>
    <mergeCell ref="A18:D18"/>
    <mergeCell ref="E18:L18"/>
    <mergeCell ref="E20:I20"/>
    <mergeCell ref="W24:X24"/>
    <mergeCell ref="W25:X25"/>
    <mergeCell ref="W26:X26"/>
    <mergeCell ref="W27:X27"/>
    <mergeCell ref="W28:X28"/>
    <mergeCell ref="W29:X29"/>
    <mergeCell ref="W30:X30"/>
    <mergeCell ref="A20:D20"/>
    <mergeCell ref="A23:D23"/>
    <mergeCell ref="U23:V23"/>
    <mergeCell ref="W23:X23"/>
    <mergeCell ref="W31:X31"/>
    <mergeCell ref="W32:X32"/>
    <mergeCell ref="W58:X58"/>
    <mergeCell ref="W59:X59"/>
    <mergeCell ref="W60:X60"/>
    <mergeCell ref="U460:V460"/>
    <mergeCell ref="W460:X460"/>
    <mergeCell ref="W459:X459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275:X275"/>
    <mergeCell ref="W276:X276"/>
    <mergeCell ref="W277:X277"/>
    <mergeCell ref="W278:X278"/>
    <mergeCell ref="W279:X279"/>
    <mergeCell ref="W280:X280"/>
    <mergeCell ref="W281:X281"/>
    <mergeCell ref="W282:X282"/>
    <mergeCell ref="W178:X178"/>
    <mergeCell ref="W179:X179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0:X190"/>
    <mergeCell ref="W191:X191"/>
    <mergeCell ref="W192:X192"/>
    <mergeCell ref="W283:X283"/>
    <mergeCell ref="W284:X284"/>
    <mergeCell ref="W285:X285"/>
    <mergeCell ref="W286:X286"/>
    <mergeCell ref="W287:X287"/>
    <mergeCell ref="W288:X288"/>
    <mergeCell ref="W289:X289"/>
    <mergeCell ref="W290:X290"/>
    <mergeCell ref="W291:X291"/>
    <mergeCell ref="W292:X292"/>
    <mergeCell ref="W293:X293"/>
    <mergeCell ref="W294:X294"/>
    <mergeCell ref="W295:X295"/>
    <mergeCell ref="W296:X296"/>
    <mergeCell ref="W297:X297"/>
    <mergeCell ref="W298:X298"/>
    <mergeCell ref="W299:X299"/>
    <mergeCell ref="W300:X300"/>
    <mergeCell ref="W301:X301"/>
    <mergeCell ref="W302:X302"/>
    <mergeCell ref="W303:X303"/>
    <mergeCell ref="W304:X304"/>
    <mergeCell ref="W305:X305"/>
    <mergeCell ref="W306:X306"/>
    <mergeCell ref="W307:X307"/>
    <mergeCell ref="W308:X308"/>
    <mergeCell ref="W309:X309"/>
    <mergeCell ref="W310:X310"/>
    <mergeCell ref="W311:X311"/>
    <mergeCell ref="W312:X312"/>
    <mergeCell ref="W313:X313"/>
    <mergeCell ref="W314:X314"/>
    <mergeCell ref="W315:X315"/>
    <mergeCell ref="W316:X316"/>
    <mergeCell ref="W317:X317"/>
    <mergeCell ref="W318:X318"/>
    <mergeCell ref="W319:X319"/>
    <mergeCell ref="W320:X320"/>
    <mergeCell ref="W321:X321"/>
    <mergeCell ref="W322:X322"/>
    <mergeCell ref="W323:X323"/>
    <mergeCell ref="W324:X324"/>
    <mergeCell ref="W325:X325"/>
    <mergeCell ref="W326:X326"/>
    <mergeCell ref="W327:X327"/>
    <mergeCell ref="W328:X328"/>
    <mergeCell ref="W329:X329"/>
    <mergeCell ref="W330:X330"/>
    <mergeCell ref="W331:X331"/>
    <mergeCell ref="W332:X332"/>
    <mergeCell ref="W333:X333"/>
    <mergeCell ref="W334:X334"/>
    <mergeCell ref="W335:X335"/>
    <mergeCell ref="W336:X336"/>
    <mergeCell ref="W337:X337"/>
    <mergeCell ref="W338:X338"/>
    <mergeCell ref="W339:X339"/>
    <mergeCell ref="W340:X340"/>
    <mergeCell ref="W341:X341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350:X350"/>
    <mergeCell ref="W351:X351"/>
    <mergeCell ref="W352:X352"/>
    <mergeCell ref="W353:X353"/>
    <mergeCell ref="W354:X354"/>
    <mergeCell ref="W355:X355"/>
    <mergeCell ref="W356:X356"/>
    <mergeCell ref="W357:X357"/>
    <mergeCell ref="W358:X358"/>
    <mergeCell ref="W359:X359"/>
    <mergeCell ref="W360:X360"/>
    <mergeCell ref="W361:X361"/>
    <mergeCell ref="W362:X362"/>
    <mergeCell ref="W363:X363"/>
    <mergeCell ref="W364:X364"/>
    <mergeCell ref="W365:X365"/>
    <mergeCell ref="W366:X366"/>
    <mergeCell ref="W367:X367"/>
    <mergeCell ref="W368:X368"/>
    <mergeCell ref="W369:X369"/>
    <mergeCell ref="W370:X370"/>
    <mergeCell ref="W371:X371"/>
    <mergeCell ref="W372:X372"/>
    <mergeCell ref="W373:X373"/>
    <mergeCell ref="W374:X374"/>
    <mergeCell ref="W375:X375"/>
    <mergeCell ref="W376:X376"/>
    <mergeCell ref="W377:X377"/>
    <mergeCell ref="W378:X378"/>
    <mergeCell ref="W379:X379"/>
    <mergeCell ref="W380:X380"/>
    <mergeCell ref="W381:X381"/>
    <mergeCell ref="W382:X382"/>
    <mergeCell ref="W383:X383"/>
    <mergeCell ref="W384:X384"/>
    <mergeCell ref="W385:X385"/>
    <mergeCell ref="W386:X386"/>
    <mergeCell ref="W387:X387"/>
    <mergeCell ref="W388:X388"/>
    <mergeCell ref="W389:X389"/>
    <mergeCell ref="W390:X390"/>
    <mergeCell ref="W391:X391"/>
    <mergeCell ref="W392:X392"/>
    <mergeCell ref="W393:X393"/>
    <mergeCell ref="W394:X394"/>
    <mergeCell ref="W395:X395"/>
    <mergeCell ref="W396:X396"/>
    <mergeCell ref="W397:X397"/>
    <mergeCell ref="W398:X398"/>
    <mergeCell ref="W399:X399"/>
    <mergeCell ref="W400:X400"/>
    <mergeCell ref="W401:X401"/>
    <mergeCell ref="W402:X402"/>
    <mergeCell ref="W403:X403"/>
    <mergeCell ref="W404:X404"/>
    <mergeCell ref="W405:X405"/>
    <mergeCell ref="W406:X406"/>
    <mergeCell ref="W407:X407"/>
    <mergeCell ref="W408:X408"/>
    <mergeCell ref="W409:X409"/>
    <mergeCell ref="W410:X410"/>
    <mergeCell ref="W411:X411"/>
    <mergeCell ref="W412:X412"/>
    <mergeCell ref="W413:X413"/>
    <mergeCell ref="W414:X414"/>
    <mergeCell ref="W415:X415"/>
    <mergeCell ref="W416:X416"/>
    <mergeCell ref="W417:X417"/>
    <mergeCell ref="W418:X418"/>
    <mergeCell ref="W419:X419"/>
    <mergeCell ref="W420:X420"/>
    <mergeCell ref="W421:X421"/>
    <mergeCell ref="W422:X422"/>
    <mergeCell ref="W423:X423"/>
    <mergeCell ref="W424:X424"/>
    <mergeCell ref="W425:X425"/>
    <mergeCell ref="W426:X426"/>
    <mergeCell ref="W427:X427"/>
    <mergeCell ref="W428:X428"/>
    <mergeCell ref="W429:X429"/>
    <mergeCell ref="W430:X430"/>
    <mergeCell ref="W431:X431"/>
    <mergeCell ref="W432:X432"/>
    <mergeCell ref="W433:X433"/>
    <mergeCell ref="W434:X434"/>
    <mergeCell ref="W435:X435"/>
    <mergeCell ref="W436:X436"/>
    <mergeCell ref="W437:X437"/>
    <mergeCell ref="W438:X438"/>
    <mergeCell ref="W439:X439"/>
    <mergeCell ref="W440:X440"/>
    <mergeCell ref="W441:X441"/>
    <mergeCell ref="W442:X442"/>
    <mergeCell ref="W443:X443"/>
    <mergeCell ref="W444:X444"/>
    <mergeCell ref="W445:X445"/>
    <mergeCell ref="W446:X446"/>
    <mergeCell ref="W447:X447"/>
    <mergeCell ref="W448:X448"/>
    <mergeCell ref="W449:X449"/>
    <mergeCell ref="W450:X450"/>
    <mergeCell ref="W451:X451"/>
    <mergeCell ref="W452:X452"/>
    <mergeCell ref="W453:X453"/>
    <mergeCell ref="W454:X454"/>
    <mergeCell ref="W455:X455"/>
    <mergeCell ref="W456:X456"/>
    <mergeCell ref="W457:X457"/>
    <mergeCell ref="W458:X458"/>
    <mergeCell ref="W159:X159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93:X193"/>
    <mergeCell ref="W194:X194"/>
    <mergeCell ref="W195:X195"/>
    <mergeCell ref="W196:X196"/>
    <mergeCell ref="W197:X197"/>
    <mergeCell ref="W198:X198"/>
    <mergeCell ref="W199:X199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9:X219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8:X228"/>
    <mergeCell ref="W244:X244"/>
    <mergeCell ref="W245:X245"/>
    <mergeCell ref="W246:X246"/>
    <mergeCell ref="W229:X229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72:X272"/>
    <mergeCell ref="W273:X273"/>
    <mergeCell ref="W256:X256"/>
    <mergeCell ref="W257:X257"/>
    <mergeCell ref="W258:X258"/>
    <mergeCell ref="W259:X259"/>
    <mergeCell ref="W260:X260"/>
    <mergeCell ref="W261:X261"/>
    <mergeCell ref="W262:X262"/>
    <mergeCell ref="W263:X263"/>
    <mergeCell ref="W264:X264"/>
    <mergeCell ref="W54:X54"/>
    <mergeCell ref="W55:X55"/>
    <mergeCell ref="W265:X265"/>
    <mergeCell ref="W266:X266"/>
    <mergeCell ref="W267:X267"/>
    <mergeCell ref="W268:X268"/>
    <mergeCell ref="W269:X269"/>
    <mergeCell ref="W270:X270"/>
    <mergeCell ref="W271:X271"/>
    <mergeCell ref="W247:X247"/>
    <mergeCell ref="W248:X248"/>
    <mergeCell ref="W249:X249"/>
    <mergeCell ref="W250:X250"/>
    <mergeCell ref="W251:X251"/>
    <mergeCell ref="W252:X252"/>
    <mergeCell ref="W253:X253"/>
    <mergeCell ref="W254:X254"/>
    <mergeCell ref="W255:X255"/>
    <mergeCell ref="W238:X238"/>
    <mergeCell ref="W239:X239"/>
    <mergeCell ref="W240:X240"/>
    <mergeCell ref="W241:X241"/>
    <mergeCell ref="W242:X242"/>
    <mergeCell ref="W243:X243"/>
    <mergeCell ref="W56:X56"/>
    <mergeCell ref="W57:X57"/>
    <mergeCell ref="W274:X274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</mergeCells>
  <phoneticPr fontId="4" type="noConversion"/>
  <printOptions horizontalCentered="1"/>
  <pageMargins left="0" right="0" top="0.74803149606299213" bottom="0.6692913385826772" header="0" footer="0.31496062992125984"/>
  <pageSetup paperSize="9" scale="60" fitToHeight="2" orientation="portrait" verticalDpi="300" r:id="rId1"/>
  <headerFooter scaleWithDoc="0" alignWithMargins="0">
    <oddFooter>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C000"/>
  </sheetPr>
  <dimension ref="A1:R484"/>
  <sheetViews>
    <sheetView showGridLines="0" topLeftCell="A440" zoomScaleNormal="100" zoomScaleSheetLayoutView="85" workbookViewId="0">
      <selection activeCell="P466" sqref="P466"/>
    </sheetView>
  </sheetViews>
  <sheetFormatPr defaultColWidth="8.42578125" defaultRowHeight="12.75"/>
  <cols>
    <col min="1" max="1" width="5.28515625" style="1" customWidth="1"/>
    <col min="2" max="2" width="7.5703125" style="1" customWidth="1"/>
    <col min="3" max="3" width="3" style="1" customWidth="1"/>
    <col min="4" max="4" width="5.28515625" style="1" customWidth="1"/>
    <col min="5" max="5" width="4" style="1" customWidth="1"/>
    <col min="6" max="6" width="11.140625" style="1" customWidth="1"/>
    <col min="7" max="10" width="5.28515625" style="1" customWidth="1"/>
    <col min="11" max="11" width="11" style="1" customWidth="1"/>
    <col min="12" max="15" width="12" style="86" customWidth="1"/>
    <col min="16" max="16" width="9.42578125" style="80" customWidth="1"/>
    <col min="17" max="17" width="9.140625" style="3" customWidth="1"/>
    <col min="18" max="18" width="5" style="1" customWidth="1"/>
    <col min="19" max="16384" width="8.42578125" style="1"/>
  </cols>
  <sheetData>
    <row r="1" spans="1:18" ht="45" customHeight="1">
      <c r="A1" s="327" t="s">
        <v>60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9"/>
      <c r="N1" s="328"/>
      <c r="O1" s="328"/>
      <c r="P1" s="328"/>
      <c r="Q1" s="328"/>
      <c r="R1" s="330"/>
    </row>
    <row r="2" spans="1:18" ht="18" customHeight="1">
      <c r="A2" s="2" t="s">
        <v>1</v>
      </c>
      <c r="B2" s="216"/>
      <c r="C2" s="216"/>
      <c r="D2" s="210"/>
      <c r="E2" s="210"/>
      <c r="F2" s="210"/>
      <c r="G2" s="210"/>
      <c r="H2" s="210"/>
      <c r="I2" s="210"/>
      <c r="J2" s="210"/>
      <c r="K2" s="210"/>
      <c r="L2" s="215" t="s">
        <v>2</v>
      </c>
      <c r="M2" s="242"/>
      <c r="O2" s="4"/>
      <c r="P2" s="4"/>
      <c r="R2" s="13"/>
    </row>
    <row r="3" spans="1:18" ht="18" customHeight="1">
      <c r="A3" s="331" t="s">
        <v>143</v>
      </c>
      <c r="B3" s="332"/>
      <c r="C3" s="332"/>
      <c r="D3" s="332"/>
      <c r="E3" s="332"/>
      <c r="F3" s="332"/>
      <c r="G3" s="332"/>
      <c r="H3" s="332"/>
      <c r="I3" s="332"/>
      <c r="J3" s="332"/>
      <c r="K3" s="5"/>
      <c r="L3" s="153" t="s">
        <v>901</v>
      </c>
      <c r="M3" s="205"/>
      <c r="N3" s="205"/>
      <c r="O3" s="6"/>
      <c r="P3" s="7"/>
      <c r="Q3" s="8"/>
      <c r="R3" s="13"/>
    </row>
    <row r="4" spans="1:18" ht="18" customHeight="1">
      <c r="A4" s="316" t="s">
        <v>735</v>
      </c>
      <c r="B4" s="317"/>
      <c r="C4" s="317"/>
      <c r="D4" s="317"/>
      <c r="E4" s="317"/>
      <c r="F4" s="317"/>
      <c r="G4" s="317"/>
      <c r="H4" s="317"/>
      <c r="I4" s="317"/>
      <c r="J4" s="317"/>
      <c r="K4" s="317"/>
      <c r="L4" s="154" t="s">
        <v>902</v>
      </c>
      <c r="M4" s="206"/>
      <c r="N4" s="206"/>
      <c r="O4" s="8"/>
      <c r="P4" s="7"/>
      <c r="Q4" s="8"/>
      <c r="R4" s="13"/>
    </row>
    <row r="5" spans="1:18" ht="27" customHeight="1">
      <c r="A5" s="316"/>
      <c r="B5" s="317"/>
      <c r="C5" s="317"/>
      <c r="D5" s="317"/>
      <c r="E5" s="317"/>
      <c r="F5" s="317"/>
      <c r="G5" s="317"/>
      <c r="H5" s="317"/>
      <c r="I5" s="317"/>
      <c r="J5" s="317"/>
      <c r="K5" s="317"/>
      <c r="L5" s="155"/>
      <c r="M5" s="6"/>
      <c r="O5" s="18"/>
      <c r="P5" s="5"/>
      <c r="Q5" s="15"/>
      <c r="R5" s="13"/>
    </row>
    <row r="6" spans="1:18" ht="18" customHeight="1">
      <c r="A6" s="19" t="s">
        <v>144</v>
      </c>
      <c r="B6" s="14"/>
      <c r="C6" s="14"/>
      <c r="D6" s="219"/>
      <c r="E6" s="5"/>
      <c r="F6" s="5"/>
      <c r="G6" s="87"/>
      <c r="H6" s="87"/>
      <c r="I6" s="87"/>
      <c r="J6" s="87"/>
      <c r="K6" s="5"/>
      <c r="L6" s="17"/>
      <c r="M6" s="5"/>
      <c r="O6" s="18"/>
      <c r="P6" s="5"/>
      <c r="Q6" s="15"/>
      <c r="R6" s="13"/>
    </row>
    <row r="7" spans="1:18" ht="18" customHeight="1">
      <c r="A7" s="19" t="s">
        <v>145</v>
      </c>
      <c r="B7" s="14"/>
      <c r="C7" s="14"/>
      <c r="D7" s="219"/>
      <c r="E7" s="5"/>
      <c r="F7" s="5"/>
      <c r="G7" s="5"/>
      <c r="H7" s="5"/>
      <c r="I7" s="5"/>
      <c r="J7" s="5"/>
      <c r="K7" s="5"/>
      <c r="L7" s="20"/>
      <c r="M7" s="5"/>
      <c r="N7" s="18"/>
      <c r="O7" s="18"/>
      <c r="P7" s="5"/>
      <c r="R7" s="88"/>
    </row>
    <row r="8" spans="1:18" ht="18" customHeight="1">
      <c r="A8" s="21" t="s">
        <v>3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4" t="s">
        <v>4</v>
      </c>
      <c r="M8" s="243"/>
      <c r="N8" s="25"/>
      <c r="O8" s="25"/>
      <c r="P8" s="23"/>
      <c r="Q8" s="26"/>
      <c r="R8" s="126"/>
    </row>
    <row r="9" spans="1:18" ht="18" customHeight="1">
      <c r="A9" s="236" t="s">
        <v>194</v>
      </c>
      <c r="B9" s="170"/>
      <c r="C9" s="170"/>
      <c r="D9" s="170"/>
      <c r="E9" s="171"/>
      <c r="F9" s="171"/>
      <c r="G9" s="31"/>
      <c r="H9" s="31"/>
      <c r="I9" s="31"/>
      <c r="J9" s="31"/>
      <c r="K9" s="31"/>
      <c r="L9" s="32"/>
      <c r="M9" s="16"/>
      <c r="N9" s="33"/>
      <c r="O9" s="16"/>
      <c r="P9" s="15"/>
      <c r="Q9" s="14"/>
      <c r="R9" s="89"/>
    </row>
    <row r="10" spans="1:18" ht="18" customHeight="1">
      <c r="A10" s="236" t="s">
        <v>730</v>
      </c>
      <c r="B10" s="170"/>
      <c r="C10" s="172"/>
      <c r="D10" s="172"/>
      <c r="E10" s="173"/>
      <c r="F10" s="173"/>
      <c r="G10" s="35"/>
      <c r="H10" s="35"/>
      <c r="I10" s="36"/>
      <c r="J10" s="36"/>
      <c r="K10" s="36"/>
      <c r="L10" s="37"/>
      <c r="M10" s="244"/>
      <c r="O10" s="38"/>
      <c r="P10" s="39"/>
      <c r="Q10" s="7"/>
      <c r="R10" s="13"/>
    </row>
    <row r="11" spans="1:18" ht="18" customHeight="1">
      <c r="A11" s="236" t="s">
        <v>731</v>
      </c>
      <c r="B11" s="170"/>
      <c r="C11" s="172"/>
      <c r="D11" s="172"/>
      <c r="E11" s="173"/>
      <c r="F11" s="173"/>
      <c r="G11" s="35"/>
      <c r="H11" s="35"/>
      <c r="I11" s="36"/>
      <c r="J11" s="36"/>
      <c r="K11" s="36"/>
      <c r="L11" s="37"/>
      <c r="M11" s="244"/>
      <c r="O11" s="38"/>
      <c r="P11" s="39"/>
      <c r="Q11" s="7"/>
      <c r="R11" s="13"/>
    </row>
    <row r="12" spans="1:18" ht="18" customHeight="1">
      <c r="A12" s="237" t="s">
        <v>732</v>
      </c>
      <c r="B12" s="175"/>
      <c r="C12" s="176"/>
      <c r="D12" s="176"/>
      <c r="E12" s="176"/>
      <c r="F12" s="176"/>
      <c r="G12" s="41"/>
      <c r="H12" s="41"/>
      <c r="I12" s="41"/>
      <c r="J12" s="41"/>
      <c r="K12" s="41"/>
      <c r="L12" s="42"/>
      <c r="M12" s="39"/>
      <c r="O12" s="38"/>
      <c r="P12" s="39"/>
      <c r="Q12" s="7"/>
      <c r="R12" s="13"/>
    </row>
    <row r="13" spans="1:18" ht="18" customHeight="1">
      <c r="A13" s="43" t="s">
        <v>6</v>
      </c>
      <c r="B13" s="23"/>
      <c r="C13" s="23"/>
      <c r="D13" s="23"/>
      <c r="E13" s="23"/>
      <c r="F13" s="23"/>
      <c r="G13" s="22"/>
      <c r="H13" s="22"/>
      <c r="I13" s="22"/>
      <c r="J13" s="22"/>
      <c r="K13" s="22"/>
      <c r="L13" s="44"/>
      <c r="M13" s="31"/>
      <c r="O13" s="45"/>
      <c r="P13" s="16"/>
      <c r="Q13" s="15"/>
      <c r="R13" s="13"/>
    </row>
    <row r="14" spans="1:18" ht="18" customHeight="1">
      <c r="A14" s="44" t="s">
        <v>146</v>
      </c>
      <c r="B14" s="16"/>
      <c r="C14" s="16"/>
      <c r="D14" s="16"/>
      <c r="E14" s="16"/>
      <c r="F14" s="16"/>
      <c r="G14" s="5"/>
      <c r="H14" s="5"/>
      <c r="I14" s="5"/>
      <c r="J14" s="5"/>
      <c r="K14" s="5"/>
      <c r="L14" s="32"/>
      <c r="M14" s="16"/>
      <c r="O14" s="45"/>
      <c r="P14" s="16"/>
      <c r="Q14" s="15"/>
      <c r="R14" s="13"/>
    </row>
    <row r="15" spans="1:18" ht="18" customHeight="1">
      <c r="A15" s="44"/>
      <c r="B15" s="16"/>
      <c r="C15" s="16"/>
      <c r="D15" s="16"/>
      <c r="E15" s="16"/>
      <c r="F15" s="16"/>
      <c r="G15" s="5"/>
      <c r="H15" s="5"/>
      <c r="I15" s="5"/>
      <c r="J15" s="5"/>
      <c r="K15" s="5"/>
      <c r="L15" s="46"/>
      <c r="M15" s="245"/>
      <c r="N15" s="333" t="s">
        <v>150</v>
      </c>
      <c r="O15" s="333"/>
      <c r="P15" s="333"/>
      <c r="Q15" s="333"/>
      <c r="R15" s="127"/>
    </row>
    <row r="16" spans="1:18" ht="18" customHeight="1">
      <c r="A16" s="30"/>
      <c r="B16" s="16"/>
      <c r="C16" s="16"/>
      <c r="D16" s="16"/>
      <c r="E16" s="16"/>
      <c r="F16" s="16"/>
      <c r="G16" s="5"/>
      <c r="H16" s="5"/>
      <c r="I16" s="5"/>
      <c r="J16" s="5"/>
      <c r="K16" s="5"/>
      <c r="L16" s="47"/>
      <c r="M16" s="1"/>
      <c r="N16" s="16"/>
      <c r="O16" s="1"/>
      <c r="P16" s="15"/>
      <c r="Q16" s="14"/>
      <c r="R16" s="127"/>
    </row>
    <row r="17" spans="1:18" ht="18" customHeight="1">
      <c r="A17" s="2" t="s">
        <v>7</v>
      </c>
      <c r="B17" s="216"/>
      <c r="C17" s="216"/>
      <c r="D17" s="216"/>
      <c r="E17" s="2" t="s">
        <v>8</v>
      </c>
      <c r="F17" s="216"/>
      <c r="G17" s="216"/>
      <c r="H17" s="216"/>
      <c r="I17" s="216"/>
      <c r="J17" s="216"/>
      <c r="K17" s="216"/>
      <c r="L17" s="318" t="s">
        <v>147</v>
      </c>
      <c r="M17" s="319"/>
      <c r="N17" s="319"/>
      <c r="O17" s="319"/>
      <c r="P17" s="319"/>
      <c r="Q17" s="319"/>
      <c r="R17" s="334"/>
    </row>
    <row r="18" spans="1:18" ht="18" customHeight="1">
      <c r="A18" s="320" t="s" ph="1">
        <v>140</v>
      </c>
      <c r="B18" s="304"/>
      <c r="C18" s="304"/>
      <c r="D18" s="305"/>
      <c r="E18" s="325" t="s">
        <v>148</v>
      </c>
      <c r="F18" s="326"/>
      <c r="G18" s="326"/>
      <c r="H18" s="326"/>
      <c r="I18" s="326"/>
      <c r="J18" s="326"/>
      <c r="K18" s="326"/>
      <c r="L18" s="47"/>
      <c r="M18" s="1"/>
      <c r="N18" s="50"/>
      <c r="O18" s="209"/>
      <c r="P18" s="51"/>
      <c r="Q18" s="52"/>
      <c r="R18" s="128"/>
    </row>
    <row r="19" spans="1:18" ht="18" customHeight="1">
      <c r="A19" s="54" t="s">
        <v>9</v>
      </c>
      <c r="B19" s="55"/>
      <c r="C19" s="55"/>
      <c r="D19" s="216"/>
      <c r="E19" s="56" t="s">
        <v>10</v>
      </c>
      <c r="F19" s="57"/>
      <c r="G19" s="57"/>
      <c r="H19" s="57"/>
      <c r="I19" s="57"/>
      <c r="J19" s="57"/>
      <c r="K19" s="57"/>
      <c r="L19" s="58"/>
      <c r="M19" s="246"/>
      <c r="N19" s="124" t="s">
        <v>149</v>
      </c>
      <c r="O19" s="124"/>
      <c r="P19" s="124"/>
      <c r="Q19" s="124"/>
      <c r="R19" s="129"/>
    </row>
    <row r="20" spans="1:18" ht="45" customHeight="1">
      <c r="A20" s="335" t="s">
        <v>5</v>
      </c>
      <c r="B20" s="324"/>
      <c r="C20" s="324"/>
      <c r="D20" s="336"/>
      <c r="E20" s="323" t="s">
        <v>904</v>
      </c>
      <c r="F20" s="324"/>
      <c r="G20" s="324"/>
      <c r="H20" s="324"/>
      <c r="I20" s="324"/>
      <c r="J20" s="59"/>
      <c r="K20" s="59"/>
      <c r="L20" s="90"/>
      <c r="M20" s="51"/>
      <c r="N20" s="51"/>
      <c r="O20" s="51"/>
      <c r="P20" s="91"/>
      <c r="R20" s="13"/>
    </row>
    <row r="21" spans="1:18" ht="18" customHeight="1">
      <c r="A21" s="54" t="s">
        <v>181</v>
      </c>
      <c r="B21" s="55"/>
      <c r="C21" s="55"/>
      <c r="D21" s="216"/>
      <c r="E21" s="56" t="s">
        <v>182</v>
      </c>
      <c r="F21" s="57"/>
      <c r="G21" s="57"/>
      <c r="H21" s="57"/>
      <c r="I21" s="57"/>
      <c r="J21" s="57"/>
      <c r="K21" s="57"/>
      <c r="L21" s="90"/>
      <c r="M21" s="51"/>
      <c r="N21" s="51"/>
      <c r="O21" s="51"/>
      <c r="P21" s="91"/>
      <c r="Q21" s="211"/>
      <c r="R21" s="13"/>
    </row>
    <row r="22" spans="1:18" ht="18" customHeight="1">
      <c r="A22" s="280" t="s">
        <v>905</v>
      </c>
      <c r="B22" s="214"/>
      <c r="C22" s="214"/>
      <c r="D22" s="60"/>
      <c r="E22" s="61" t="s">
        <v>903</v>
      </c>
      <c r="F22" s="62"/>
      <c r="G22" s="62"/>
      <c r="H22" s="62"/>
      <c r="I22" s="62"/>
      <c r="J22" s="62"/>
      <c r="K22" s="62"/>
      <c r="L22" s="90"/>
      <c r="M22" s="51"/>
      <c r="N22" s="51"/>
      <c r="O22" s="51"/>
      <c r="P22" s="91"/>
      <c r="Q22" s="211"/>
      <c r="R22" s="13"/>
    </row>
    <row r="23" spans="1:18" ht="18" customHeight="1">
      <c r="A23" s="337"/>
      <c r="B23" s="338"/>
      <c r="C23" s="338"/>
      <c r="D23" s="338"/>
      <c r="E23" s="338"/>
      <c r="F23" s="339"/>
      <c r="G23" s="340"/>
      <c r="H23" s="340"/>
      <c r="I23" s="340"/>
      <c r="J23" s="340"/>
      <c r="K23" s="340"/>
      <c r="L23" s="92"/>
      <c r="M23" s="93"/>
      <c r="N23" s="93"/>
      <c r="O23" s="93"/>
      <c r="P23" s="94"/>
      <c r="Q23" s="218"/>
      <c r="R23" s="88"/>
    </row>
    <row r="24" spans="1:18" ht="18" customHeight="1">
      <c r="A24" s="341" t="s">
        <v>61</v>
      </c>
      <c r="B24" s="342"/>
      <c r="C24" s="342"/>
      <c r="D24" s="342"/>
      <c r="E24" s="342"/>
      <c r="F24" s="345" t="s">
        <v>14</v>
      </c>
      <c r="G24" s="346"/>
      <c r="H24" s="346"/>
      <c r="I24" s="346"/>
      <c r="J24" s="346"/>
      <c r="K24" s="346"/>
      <c r="L24" s="363" t="s">
        <v>62</v>
      </c>
      <c r="M24" s="365" t="s">
        <v>335</v>
      </c>
      <c r="N24" s="353" t="s">
        <v>336</v>
      </c>
      <c r="O24" s="355" t="s">
        <v>337</v>
      </c>
      <c r="P24" s="355" t="s">
        <v>338</v>
      </c>
      <c r="Q24" s="357" t="s">
        <v>339</v>
      </c>
      <c r="R24" s="358"/>
    </row>
    <row r="25" spans="1:18" ht="15" customHeight="1">
      <c r="A25" s="343"/>
      <c r="B25" s="344"/>
      <c r="C25" s="344"/>
      <c r="D25" s="344"/>
      <c r="E25" s="344"/>
      <c r="F25" s="347"/>
      <c r="G25" s="347"/>
      <c r="H25" s="347"/>
      <c r="I25" s="347"/>
      <c r="J25" s="347"/>
      <c r="K25" s="347"/>
      <c r="L25" s="364"/>
      <c r="M25" s="366"/>
      <c r="N25" s="354"/>
      <c r="O25" s="356"/>
      <c r="P25" s="356"/>
      <c r="Q25" s="359"/>
      <c r="R25" s="360"/>
    </row>
    <row r="26" spans="1:18" ht="18" customHeight="1">
      <c r="A26" s="159">
        <v>0</v>
      </c>
      <c r="B26" s="160"/>
      <c r="C26" s="95"/>
      <c r="D26" s="95"/>
      <c r="E26" s="96"/>
      <c r="F26" s="265" t="s">
        <v>597</v>
      </c>
      <c r="G26" s="160"/>
      <c r="H26" s="98"/>
      <c r="I26" s="98"/>
      <c r="J26" s="98"/>
      <c r="K26" s="98"/>
      <c r="L26" s="157">
        <v>2500</v>
      </c>
      <c r="M26" s="250"/>
      <c r="N26" s="99"/>
      <c r="O26" s="100">
        <f t="shared" ref="O26:O44" si="0">L26*M26</f>
        <v>0</v>
      </c>
      <c r="P26" s="101"/>
      <c r="Q26" s="361"/>
      <c r="R26" s="362"/>
    </row>
    <row r="27" spans="1:18" ht="18" customHeight="1">
      <c r="A27" s="159">
        <v>0</v>
      </c>
      <c r="B27" s="160"/>
      <c r="C27" s="95"/>
      <c r="D27" s="95"/>
      <c r="E27" s="96"/>
      <c r="F27" s="265" t="s">
        <v>360</v>
      </c>
      <c r="G27" s="160"/>
      <c r="H27" s="98"/>
      <c r="I27" s="98"/>
      <c r="J27" s="98"/>
      <c r="K27" s="98"/>
      <c r="L27" s="157">
        <v>400</v>
      </c>
      <c r="M27" s="250"/>
      <c r="N27" s="99"/>
      <c r="O27" s="100">
        <f t="shared" si="0"/>
        <v>0</v>
      </c>
      <c r="P27" s="101"/>
      <c r="Q27" s="212"/>
      <c r="R27" s="213"/>
    </row>
    <row r="28" spans="1:18" ht="18" customHeight="1">
      <c r="A28" s="159">
        <v>0</v>
      </c>
      <c r="B28" s="160"/>
      <c r="C28" s="95"/>
      <c r="D28" s="95"/>
      <c r="E28" s="96"/>
      <c r="F28" s="265" t="s">
        <v>361</v>
      </c>
      <c r="G28" s="160"/>
      <c r="H28" s="98"/>
      <c r="I28" s="98"/>
      <c r="J28" s="98"/>
      <c r="K28" s="98"/>
      <c r="L28" s="157">
        <v>300</v>
      </c>
      <c r="M28" s="250"/>
      <c r="N28" s="99"/>
      <c r="O28" s="100">
        <f t="shared" si="0"/>
        <v>0</v>
      </c>
      <c r="P28" s="101"/>
      <c r="Q28" s="212"/>
      <c r="R28" s="213"/>
    </row>
    <row r="29" spans="1:18" ht="18" customHeight="1">
      <c r="A29" s="159">
        <v>0</v>
      </c>
      <c r="B29" s="251"/>
      <c r="C29" s="95"/>
      <c r="D29" s="95"/>
      <c r="E29" s="96"/>
      <c r="F29" s="266" t="s">
        <v>589</v>
      </c>
      <c r="G29" s="251"/>
      <c r="H29" s="98"/>
      <c r="I29" s="98"/>
      <c r="J29" s="98"/>
      <c r="K29" s="98"/>
      <c r="L29" s="254">
        <v>2300</v>
      </c>
      <c r="M29" s="250"/>
      <c r="N29" s="99"/>
      <c r="O29" s="100">
        <f t="shared" si="0"/>
        <v>0</v>
      </c>
      <c r="P29" s="101"/>
      <c r="Q29" s="212"/>
      <c r="R29" s="213"/>
    </row>
    <row r="30" spans="1:18" ht="18" customHeight="1">
      <c r="A30" s="159">
        <v>0</v>
      </c>
      <c r="B30" s="160"/>
      <c r="C30" s="227"/>
      <c r="D30" s="227"/>
      <c r="E30" s="228"/>
      <c r="F30" s="265" t="s">
        <v>590</v>
      </c>
      <c r="G30" s="160"/>
      <c r="H30" s="229"/>
      <c r="I30" s="229"/>
      <c r="J30" s="229"/>
      <c r="K30" s="229"/>
      <c r="L30" s="157">
        <v>2000</v>
      </c>
      <c r="M30" s="250"/>
      <c r="N30" s="230"/>
      <c r="O30" s="100">
        <f t="shared" si="0"/>
        <v>0</v>
      </c>
      <c r="P30" s="101"/>
      <c r="Q30" s="232"/>
      <c r="R30" s="233"/>
    </row>
    <row r="31" spans="1:18" ht="18" customHeight="1">
      <c r="A31" s="159">
        <v>0</v>
      </c>
      <c r="B31" s="160"/>
      <c r="C31" s="227"/>
      <c r="D31" s="227"/>
      <c r="E31" s="228"/>
      <c r="F31" s="265" t="s">
        <v>367</v>
      </c>
      <c r="G31" s="160"/>
      <c r="H31" s="229"/>
      <c r="I31" s="229"/>
      <c r="J31" s="229"/>
      <c r="K31" s="229"/>
      <c r="L31" s="157">
        <v>2400</v>
      </c>
      <c r="M31" s="250"/>
      <c r="N31" s="230"/>
      <c r="O31" s="100">
        <f t="shared" si="0"/>
        <v>0</v>
      </c>
      <c r="P31" s="101"/>
      <c r="Q31" s="241"/>
      <c r="R31" s="233"/>
    </row>
    <row r="32" spans="1:18" ht="18" customHeight="1">
      <c r="A32" s="159">
        <v>0</v>
      </c>
      <c r="B32" s="160"/>
      <c r="C32" s="227"/>
      <c r="D32" s="227"/>
      <c r="E32" s="228"/>
      <c r="F32" s="265" t="s">
        <v>374</v>
      </c>
      <c r="G32" s="160"/>
      <c r="H32" s="229"/>
      <c r="I32" s="229"/>
      <c r="J32" s="229"/>
      <c r="K32" s="229"/>
      <c r="L32" s="157">
        <v>600</v>
      </c>
      <c r="M32" s="250"/>
      <c r="N32" s="230"/>
      <c r="O32" s="100">
        <f t="shared" si="0"/>
        <v>0</v>
      </c>
      <c r="P32" s="101"/>
      <c r="Q32" s="241"/>
      <c r="R32" s="233"/>
    </row>
    <row r="33" spans="1:18" ht="18" customHeight="1">
      <c r="A33" s="159">
        <v>0</v>
      </c>
      <c r="B33" s="160"/>
      <c r="C33" s="227"/>
      <c r="D33" s="227"/>
      <c r="E33" s="228"/>
      <c r="F33" s="265" t="s">
        <v>73</v>
      </c>
      <c r="G33" s="160"/>
      <c r="H33" s="229"/>
      <c r="I33" s="229"/>
      <c r="J33" s="229"/>
      <c r="K33" s="229"/>
      <c r="L33" s="157">
        <v>1500</v>
      </c>
      <c r="M33" s="250"/>
      <c r="N33" s="230"/>
      <c r="O33" s="100">
        <f t="shared" si="0"/>
        <v>0</v>
      </c>
      <c r="P33" s="101"/>
      <c r="Q33" s="241"/>
      <c r="R33" s="233"/>
    </row>
    <row r="34" spans="1:18" ht="18" customHeight="1">
      <c r="A34" s="159">
        <v>0</v>
      </c>
      <c r="B34" s="160"/>
      <c r="C34" s="227"/>
      <c r="D34" s="227"/>
      <c r="E34" s="228"/>
      <c r="F34" s="265" t="s">
        <v>628</v>
      </c>
      <c r="G34" s="160"/>
      <c r="H34" s="229"/>
      <c r="I34" s="229"/>
      <c r="J34" s="229"/>
      <c r="K34" s="229"/>
      <c r="L34" s="157">
        <v>2625</v>
      </c>
      <c r="M34" s="250"/>
      <c r="N34" s="230"/>
      <c r="O34" s="100">
        <f t="shared" si="0"/>
        <v>0</v>
      </c>
      <c r="P34" s="101"/>
      <c r="Q34" s="241"/>
      <c r="R34" s="233"/>
    </row>
    <row r="35" spans="1:18" ht="18" customHeight="1">
      <c r="A35" s="159">
        <v>0</v>
      </c>
      <c r="B35" s="160"/>
      <c r="C35" s="227"/>
      <c r="D35" s="227"/>
      <c r="E35" s="228"/>
      <c r="F35" s="265" t="s">
        <v>80</v>
      </c>
      <c r="G35" s="160"/>
      <c r="H35" s="229"/>
      <c r="I35" s="229"/>
      <c r="J35" s="229"/>
      <c r="K35" s="229"/>
      <c r="L35" s="157">
        <v>200</v>
      </c>
      <c r="M35" s="250"/>
      <c r="N35" s="230"/>
      <c r="O35" s="100">
        <f t="shared" si="0"/>
        <v>0</v>
      </c>
      <c r="P35" s="101"/>
      <c r="Q35" s="241"/>
      <c r="R35" s="233"/>
    </row>
    <row r="36" spans="1:18" ht="18" customHeight="1">
      <c r="A36" s="159">
        <v>0</v>
      </c>
      <c r="B36" s="160"/>
      <c r="C36" s="227"/>
      <c r="D36" s="227"/>
      <c r="E36" s="228"/>
      <c r="F36" s="265" t="s">
        <v>373</v>
      </c>
      <c r="G36" s="160"/>
      <c r="H36" s="229"/>
      <c r="I36" s="229"/>
      <c r="J36" s="229"/>
      <c r="K36" s="229"/>
      <c r="L36" s="157">
        <v>140</v>
      </c>
      <c r="M36" s="250"/>
      <c r="N36" s="230"/>
      <c r="O36" s="100">
        <f t="shared" si="0"/>
        <v>0</v>
      </c>
      <c r="P36" s="101"/>
      <c r="Q36" s="241"/>
      <c r="R36" s="233"/>
    </row>
    <row r="37" spans="1:18" ht="18" customHeight="1">
      <c r="A37" s="159">
        <v>0</v>
      </c>
      <c r="B37" s="160"/>
      <c r="C37" s="227"/>
      <c r="D37" s="227"/>
      <c r="E37" s="228"/>
      <c r="F37" s="265" t="s">
        <v>118</v>
      </c>
      <c r="G37" s="160"/>
      <c r="H37" s="229"/>
      <c r="I37" s="229"/>
      <c r="J37" s="229"/>
      <c r="K37" s="229"/>
      <c r="L37" s="157">
        <v>100</v>
      </c>
      <c r="M37" s="250"/>
      <c r="N37" s="230"/>
      <c r="O37" s="100">
        <f t="shared" si="0"/>
        <v>0</v>
      </c>
      <c r="P37" s="101"/>
      <c r="Q37" s="241"/>
      <c r="R37" s="233"/>
    </row>
    <row r="38" spans="1:18" ht="18" customHeight="1">
      <c r="A38" s="159">
        <v>0</v>
      </c>
      <c r="B38" s="160"/>
      <c r="C38" s="227"/>
      <c r="D38" s="227"/>
      <c r="E38" s="228"/>
      <c r="F38" s="265" t="s">
        <v>88</v>
      </c>
      <c r="G38" s="160"/>
      <c r="H38" s="229"/>
      <c r="I38" s="229"/>
      <c r="J38" s="229"/>
      <c r="K38" s="229"/>
      <c r="L38" s="157">
        <v>200</v>
      </c>
      <c r="M38" s="250"/>
      <c r="N38" s="230"/>
      <c r="O38" s="100">
        <f t="shared" si="0"/>
        <v>0</v>
      </c>
      <c r="P38" s="101"/>
      <c r="Q38" s="241"/>
      <c r="R38" s="233"/>
    </row>
    <row r="39" spans="1:18" ht="18" customHeight="1">
      <c r="A39" s="159">
        <v>0</v>
      </c>
      <c r="B39" s="160"/>
      <c r="C39" s="227"/>
      <c r="D39" s="227"/>
      <c r="E39" s="228"/>
      <c r="F39" s="265" t="s">
        <v>101</v>
      </c>
      <c r="G39" s="160"/>
      <c r="H39" s="229"/>
      <c r="I39" s="229"/>
      <c r="J39" s="229"/>
      <c r="K39" s="229"/>
      <c r="L39" s="157">
        <v>300</v>
      </c>
      <c r="M39" s="250"/>
      <c r="N39" s="230"/>
      <c r="O39" s="100">
        <f t="shared" si="0"/>
        <v>0</v>
      </c>
      <c r="P39" s="101"/>
      <c r="Q39" s="241"/>
      <c r="R39" s="233"/>
    </row>
    <row r="40" spans="1:18" ht="18" customHeight="1">
      <c r="A40" s="159">
        <v>0</v>
      </c>
      <c r="B40" s="160"/>
      <c r="C40" s="227"/>
      <c r="D40" s="227"/>
      <c r="E40" s="228"/>
      <c r="F40" s="265" t="s">
        <v>102</v>
      </c>
      <c r="G40" s="160"/>
      <c r="H40" s="229"/>
      <c r="I40" s="229"/>
      <c r="J40" s="229"/>
      <c r="K40" s="229"/>
      <c r="L40" s="157">
        <v>750</v>
      </c>
      <c r="M40" s="250"/>
      <c r="N40" s="230"/>
      <c r="O40" s="100">
        <f t="shared" si="0"/>
        <v>0</v>
      </c>
      <c r="P40" s="101"/>
      <c r="Q40" s="241"/>
      <c r="R40" s="233"/>
    </row>
    <row r="41" spans="1:18" ht="18" customHeight="1">
      <c r="A41" s="159">
        <v>0</v>
      </c>
      <c r="B41" s="160"/>
      <c r="C41" s="227"/>
      <c r="D41" s="227"/>
      <c r="E41" s="228"/>
      <c r="F41" s="265" t="s">
        <v>100</v>
      </c>
      <c r="G41" s="160"/>
      <c r="H41" s="229"/>
      <c r="I41" s="229"/>
      <c r="J41" s="229"/>
      <c r="K41" s="229"/>
      <c r="L41" s="157">
        <v>3700</v>
      </c>
      <c r="M41" s="250"/>
      <c r="N41" s="230"/>
      <c r="O41" s="100">
        <f t="shared" si="0"/>
        <v>0</v>
      </c>
      <c r="P41" s="101"/>
      <c r="Q41" s="241"/>
      <c r="R41" s="233"/>
    </row>
    <row r="42" spans="1:18" ht="18" customHeight="1">
      <c r="A42" s="159">
        <v>0</v>
      </c>
      <c r="B42" s="160"/>
      <c r="C42" s="227"/>
      <c r="D42" s="227"/>
      <c r="E42" s="228"/>
      <c r="F42" s="265" t="s">
        <v>623</v>
      </c>
      <c r="G42" s="160"/>
      <c r="H42" s="229"/>
      <c r="I42" s="229"/>
      <c r="J42" s="229"/>
      <c r="K42" s="229"/>
      <c r="L42" s="157">
        <v>2500</v>
      </c>
      <c r="M42" s="250"/>
      <c r="N42" s="230"/>
      <c r="O42" s="100">
        <f t="shared" si="0"/>
        <v>0</v>
      </c>
      <c r="P42" s="101"/>
      <c r="Q42" s="241"/>
      <c r="R42" s="233"/>
    </row>
    <row r="43" spans="1:18" ht="18" customHeight="1">
      <c r="A43" s="159">
        <v>0</v>
      </c>
      <c r="B43" s="160"/>
      <c r="C43" s="227"/>
      <c r="D43" s="227"/>
      <c r="E43" s="228"/>
      <c r="F43" s="265" t="s">
        <v>70</v>
      </c>
      <c r="G43" s="160"/>
      <c r="H43" s="229"/>
      <c r="I43" s="229"/>
      <c r="J43" s="229"/>
      <c r="K43" s="229"/>
      <c r="L43" s="157">
        <v>500</v>
      </c>
      <c r="M43" s="250"/>
      <c r="N43" s="230"/>
      <c r="O43" s="100">
        <f t="shared" si="0"/>
        <v>0</v>
      </c>
      <c r="P43" s="101"/>
      <c r="Q43" s="241"/>
      <c r="R43" s="233"/>
    </row>
    <row r="44" spans="1:18" ht="18" customHeight="1">
      <c r="A44" s="159">
        <v>0</v>
      </c>
      <c r="B44" s="160"/>
      <c r="C44" s="227"/>
      <c r="D44" s="227"/>
      <c r="E44" s="228"/>
      <c r="F44" s="265" t="s">
        <v>618</v>
      </c>
      <c r="G44" s="160"/>
      <c r="H44" s="229"/>
      <c r="I44" s="229"/>
      <c r="J44" s="229"/>
      <c r="K44" s="229"/>
      <c r="L44" s="157">
        <v>1400</v>
      </c>
      <c r="M44" s="250"/>
      <c r="N44" s="230"/>
      <c r="O44" s="100">
        <f t="shared" si="0"/>
        <v>0</v>
      </c>
      <c r="P44" s="101"/>
      <c r="Q44" s="241"/>
      <c r="R44" s="233"/>
    </row>
    <row r="45" spans="1:18" ht="18" customHeight="1">
      <c r="A45" s="159">
        <v>0</v>
      </c>
      <c r="B45" s="160"/>
      <c r="C45" s="227"/>
      <c r="D45" s="227"/>
      <c r="E45" s="228"/>
      <c r="F45" s="265" t="s">
        <v>625</v>
      </c>
      <c r="G45" s="160"/>
      <c r="H45" s="229"/>
      <c r="I45" s="229"/>
      <c r="J45" s="229"/>
      <c r="K45" s="229"/>
      <c r="L45" s="157">
        <v>1800</v>
      </c>
      <c r="M45" s="250"/>
      <c r="N45" s="230"/>
      <c r="O45" s="100">
        <f t="shared" ref="O45:O405" si="1">L45*M45</f>
        <v>0</v>
      </c>
      <c r="P45" s="101"/>
      <c r="Q45" s="241"/>
      <c r="R45" s="233"/>
    </row>
    <row r="46" spans="1:18" ht="18" customHeight="1">
      <c r="A46" s="159">
        <v>0</v>
      </c>
      <c r="B46" s="160"/>
      <c r="C46" s="227"/>
      <c r="D46" s="227"/>
      <c r="E46" s="228"/>
      <c r="F46" s="265" t="s">
        <v>193</v>
      </c>
      <c r="G46" s="160"/>
      <c r="H46" s="229"/>
      <c r="I46" s="229"/>
      <c r="J46" s="229"/>
      <c r="K46" s="229"/>
      <c r="L46" s="157">
        <v>900</v>
      </c>
      <c r="M46" s="250"/>
      <c r="N46" s="230"/>
      <c r="O46" s="100">
        <f t="shared" si="1"/>
        <v>0</v>
      </c>
      <c r="P46" s="101"/>
      <c r="Q46" s="241"/>
      <c r="R46" s="233"/>
    </row>
    <row r="47" spans="1:18" ht="18" customHeight="1">
      <c r="A47" s="159">
        <v>0</v>
      </c>
      <c r="B47" s="160"/>
      <c r="C47" s="227"/>
      <c r="D47" s="227"/>
      <c r="E47" s="228"/>
      <c r="F47" s="265" t="s">
        <v>592</v>
      </c>
      <c r="G47" s="160"/>
      <c r="H47" s="229"/>
      <c r="I47" s="229"/>
      <c r="J47" s="229"/>
      <c r="K47" s="229"/>
      <c r="L47" s="157">
        <v>2500</v>
      </c>
      <c r="M47" s="250"/>
      <c r="N47" s="230"/>
      <c r="O47" s="100">
        <f t="shared" si="1"/>
        <v>0</v>
      </c>
      <c r="P47" s="101"/>
      <c r="Q47" s="241"/>
      <c r="R47" s="233"/>
    </row>
    <row r="48" spans="1:18" ht="18" customHeight="1">
      <c r="A48" s="159">
        <v>0</v>
      </c>
      <c r="B48" s="160"/>
      <c r="C48" s="227"/>
      <c r="D48" s="227"/>
      <c r="E48" s="228"/>
      <c r="F48" s="265" t="s">
        <v>661</v>
      </c>
      <c r="G48" s="160"/>
      <c r="H48" s="229"/>
      <c r="I48" s="229"/>
      <c r="J48" s="229"/>
      <c r="K48" s="229"/>
      <c r="L48" s="157">
        <v>2500</v>
      </c>
      <c r="M48" s="250"/>
      <c r="N48" s="230"/>
      <c r="O48" s="100">
        <f t="shared" si="1"/>
        <v>0</v>
      </c>
      <c r="P48" s="101"/>
      <c r="Q48" s="241"/>
      <c r="R48" s="233"/>
    </row>
    <row r="49" spans="1:18" ht="18" customHeight="1">
      <c r="A49" s="159">
        <v>0</v>
      </c>
      <c r="B49" s="160"/>
      <c r="C49" s="227"/>
      <c r="D49" s="227"/>
      <c r="E49" s="228"/>
      <c r="F49" s="265" t="s">
        <v>721</v>
      </c>
      <c r="G49" s="160"/>
      <c r="H49" s="229"/>
      <c r="I49" s="229"/>
      <c r="J49" s="229"/>
      <c r="K49" s="229"/>
      <c r="L49" s="157">
        <v>800</v>
      </c>
      <c r="M49" s="250"/>
      <c r="N49" s="230"/>
      <c r="O49" s="100">
        <f t="shared" si="1"/>
        <v>0</v>
      </c>
      <c r="P49" s="101"/>
      <c r="Q49" s="241"/>
      <c r="R49" s="233"/>
    </row>
    <row r="50" spans="1:18" ht="18" customHeight="1">
      <c r="A50" s="159">
        <v>0</v>
      </c>
      <c r="B50" s="160"/>
      <c r="C50" s="227"/>
      <c r="D50" s="227"/>
      <c r="E50" s="228"/>
      <c r="F50" s="265" t="s">
        <v>357</v>
      </c>
      <c r="G50" s="160"/>
      <c r="H50" s="229"/>
      <c r="I50" s="229"/>
      <c r="J50" s="229"/>
      <c r="K50" s="229"/>
      <c r="L50" s="157">
        <v>1000</v>
      </c>
      <c r="M50" s="250"/>
      <c r="N50" s="230"/>
      <c r="O50" s="100">
        <f t="shared" si="1"/>
        <v>0</v>
      </c>
      <c r="P50" s="101"/>
      <c r="Q50" s="241"/>
      <c r="R50" s="233"/>
    </row>
    <row r="51" spans="1:18" ht="18" customHeight="1">
      <c r="A51" s="159">
        <v>0</v>
      </c>
      <c r="B51" s="160"/>
      <c r="C51" s="227"/>
      <c r="D51" s="227"/>
      <c r="E51" s="228"/>
      <c r="F51" s="265" t="s">
        <v>359</v>
      </c>
      <c r="G51" s="160"/>
      <c r="H51" s="229"/>
      <c r="I51" s="229"/>
      <c r="J51" s="229"/>
      <c r="K51" s="229"/>
      <c r="L51" s="157">
        <v>600</v>
      </c>
      <c r="M51" s="250"/>
      <c r="N51" s="230"/>
      <c r="O51" s="100">
        <f t="shared" si="1"/>
        <v>0</v>
      </c>
      <c r="P51" s="101"/>
      <c r="Q51" s="241"/>
      <c r="R51" s="233"/>
    </row>
    <row r="52" spans="1:18" ht="18" customHeight="1">
      <c r="A52" s="159">
        <v>0</v>
      </c>
      <c r="B52" s="160"/>
      <c r="C52" s="227"/>
      <c r="D52" s="227"/>
      <c r="E52" s="228"/>
      <c r="F52" s="265" t="s">
        <v>358</v>
      </c>
      <c r="G52" s="160"/>
      <c r="H52" s="229"/>
      <c r="I52" s="229"/>
      <c r="J52" s="229"/>
      <c r="K52" s="229"/>
      <c r="L52" s="157">
        <v>500</v>
      </c>
      <c r="M52" s="250"/>
      <c r="N52" s="230"/>
      <c r="O52" s="100">
        <f t="shared" si="1"/>
        <v>0</v>
      </c>
      <c r="P52" s="101"/>
      <c r="Q52" s="241"/>
      <c r="R52" s="233"/>
    </row>
    <row r="53" spans="1:18" ht="18" customHeight="1">
      <c r="A53" s="159">
        <v>0</v>
      </c>
      <c r="B53" s="160"/>
      <c r="C53" s="227"/>
      <c r="D53" s="227"/>
      <c r="E53" s="228"/>
      <c r="F53" s="265" t="s">
        <v>591</v>
      </c>
      <c r="G53" s="160"/>
      <c r="H53" s="229"/>
      <c r="I53" s="229"/>
      <c r="J53" s="229"/>
      <c r="K53" s="229"/>
      <c r="L53" s="157">
        <v>2400</v>
      </c>
      <c r="M53" s="250"/>
      <c r="N53" s="230"/>
      <c r="O53" s="100">
        <f t="shared" si="1"/>
        <v>0</v>
      </c>
      <c r="P53" s="101"/>
      <c r="Q53" s="241"/>
      <c r="R53" s="233"/>
    </row>
    <row r="54" spans="1:18" ht="18" customHeight="1">
      <c r="A54" s="159">
        <v>0</v>
      </c>
      <c r="B54" s="160"/>
      <c r="C54" s="227"/>
      <c r="D54" s="227"/>
      <c r="E54" s="228"/>
      <c r="F54" s="265" t="s">
        <v>183</v>
      </c>
      <c r="G54" s="160"/>
      <c r="H54" s="229"/>
      <c r="I54" s="229"/>
      <c r="J54" s="229"/>
      <c r="K54" s="229"/>
      <c r="L54" s="157">
        <v>1000</v>
      </c>
      <c r="M54" s="250"/>
      <c r="N54" s="230"/>
      <c r="O54" s="100">
        <f t="shared" si="1"/>
        <v>0</v>
      </c>
      <c r="P54" s="101"/>
      <c r="Q54" s="241"/>
      <c r="R54" s="233"/>
    </row>
    <row r="55" spans="1:18" ht="18" customHeight="1">
      <c r="A55" s="159">
        <v>0</v>
      </c>
      <c r="B55" s="160"/>
      <c r="C55" s="227"/>
      <c r="D55" s="227"/>
      <c r="E55" s="228"/>
      <c r="F55" s="265" t="s">
        <v>375</v>
      </c>
      <c r="G55" s="160"/>
      <c r="H55" s="229"/>
      <c r="I55" s="229"/>
      <c r="J55" s="229"/>
      <c r="K55" s="229"/>
      <c r="L55" s="157">
        <v>3500</v>
      </c>
      <c r="M55" s="250"/>
      <c r="N55" s="230"/>
      <c r="O55" s="100">
        <f t="shared" si="1"/>
        <v>0</v>
      </c>
      <c r="P55" s="101"/>
      <c r="Q55" s="241"/>
      <c r="R55" s="233"/>
    </row>
    <row r="56" spans="1:18" ht="18" customHeight="1">
      <c r="A56" s="159">
        <v>0</v>
      </c>
      <c r="B56" s="160"/>
      <c r="C56" s="227"/>
      <c r="D56" s="227"/>
      <c r="E56" s="228"/>
      <c r="F56" s="265" t="s">
        <v>598</v>
      </c>
      <c r="G56" s="160"/>
      <c r="H56" s="229"/>
      <c r="I56" s="229"/>
      <c r="J56" s="229"/>
      <c r="K56" s="229"/>
      <c r="L56" s="157">
        <v>2025</v>
      </c>
      <c r="M56" s="250"/>
      <c r="N56" s="230"/>
      <c r="O56" s="100">
        <f t="shared" si="1"/>
        <v>0</v>
      </c>
      <c r="P56" s="101"/>
      <c r="Q56" s="241"/>
      <c r="R56" s="233"/>
    </row>
    <row r="57" spans="1:18" ht="18" customHeight="1">
      <c r="A57" s="159">
        <v>0</v>
      </c>
      <c r="B57" s="160"/>
      <c r="C57" s="227"/>
      <c r="D57" s="227"/>
      <c r="E57" s="228"/>
      <c r="F57" s="265" t="s">
        <v>599</v>
      </c>
      <c r="G57" s="160"/>
      <c r="H57" s="229"/>
      <c r="I57" s="229"/>
      <c r="J57" s="229"/>
      <c r="K57" s="229"/>
      <c r="L57" s="157">
        <v>5544</v>
      </c>
      <c r="M57" s="250"/>
      <c r="N57" s="230"/>
      <c r="O57" s="100">
        <f t="shared" si="1"/>
        <v>0</v>
      </c>
      <c r="P57" s="101"/>
      <c r="Q57" s="241"/>
      <c r="R57" s="233"/>
    </row>
    <row r="58" spans="1:18" ht="18" customHeight="1">
      <c r="A58" s="159">
        <v>0</v>
      </c>
      <c r="B58" s="160"/>
      <c r="C58" s="227"/>
      <c r="D58" s="227"/>
      <c r="E58" s="228"/>
      <c r="F58" s="265" t="s">
        <v>369</v>
      </c>
      <c r="G58" s="160"/>
      <c r="H58" s="229"/>
      <c r="I58" s="229"/>
      <c r="J58" s="229"/>
      <c r="K58" s="229"/>
      <c r="L58" s="157">
        <v>1344</v>
      </c>
      <c r="M58" s="250"/>
      <c r="N58" s="230"/>
      <c r="O58" s="100">
        <f t="shared" si="1"/>
        <v>0</v>
      </c>
      <c r="P58" s="101"/>
      <c r="Q58" s="241"/>
      <c r="R58" s="233"/>
    </row>
    <row r="59" spans="1:18" ht="18" customHeight="1">
      <c r="A59" s="159">
        <v>0</v>
      </c>
      <c r="B59" s="160"/>
      <c r="C59" s="227"/>
      <c r="D59" s="227"/>
      <c r="E59" s="228"/>
      <c r="F59" s="265" t="s">
        <v>608</v>
      </c>
      <c r="G59" s="160"/>
      <c r="H59" s="229"/>
      <c r="I59" s="229"/>
      <c r="J59" s="229"/>
      <c r="K59" s="229"/>
      <c r="L59" s="157">
        <v>2199</v>
      </c>
      <c r="M59" s="250"/>
      <c r="N59" s="230"/>
      <c r="O59" s="100">
        <f t="shared" si="1"/>
        <v>0</v>
      </c>
      <c r="P59" s="101"/>
      <c r="Q59" s="241"/>
      <c r="R59" s="233"/>
    </row>
    <row r="60" spans="1:18" ht="18" customHeight="1">
      <c r="A60" s="159">
        <v>0</v>
      </c>
      <c r="B60" s="160"/>
      <c r="C60" s="227"/>
      <c r="D60" s="227"/>
      <c r="E60" s="228"/>
      <c r="F60" s="265" t="s">
        <v>609</v>
      </c>
      <c r="G60" s="160"/>
      <c r="H60" s="229"/>
      <c r="I60" s="229"/>
      <c r="J60" s="229"/>
      <c r="K60" s="229"/>
      <c r="L60" s="157">
        <v>2376</v>
      </c>
      <c r="M60" s="250"/>
      <c r="N60" s="230"/>
      <c r="O60" s="100">
        <f t="shared" si="1"/>
        <v>0</v>
      </c>
      <c r="P60" s="101"/>
      <c r="Q60" s="241"/>
      <c r="R60" s="233"/>
    </row>
    <row r="61" spans="1:18" ht="18" customHeight="1">
      <c r="A61" s="159">
        <v>0</v>
      </c>
      <c r="B61" s="160"/>
      <c r="C61" s="227"/>
      <c r="D61" s="227"/>
      <c r="E61" s="228"/>
      <c r="F61" s="265" t="s">
        <v>106</v>
      </c>
      <c r="G61" s="160"/>
      <c r="H61" s="229"/>
      <c r="I61" s="229"/>
      <c r="J61" s="229"/>
      <c r="K61" s="229"/>
      <c r="L61" s="157">
        <v>120</v>
      </c>
      <c r="M61" s="250"/>
      <c r="N61" s="230"/>
      <c r="O61" s="100">
        <f t="shared" si="1"/>
        <v>0</v>
      </c>
      <c r="P61" s="101"/>
      <c r="Q61" s="241"/>
      <c r="R61" s="233"/>
    </row>
    <row r="62" spans="1:18" ht="18" customHeight="1">
      <c r="A62" s="159">
        <v>0</v>
      </c>
      <c r="B62" s="160"/>
      <c r="C62" s="227"/>
      <c r="D62" s="227"/>
      <c r="E62" s="228"/>
      <c r="F62" s="265" t="s">
        <v>610</v>
      </c>
      <c r="G62" s="160"/>
      <c r="H62" s="229"/>
      <c r="I62" s="229"/>
      <c r="J62" s="229"/>
      <c r="K62" s="229"/>
      <c r="L62" s="157">
        <v>1350</v>
      </c>
      <c r="M62" s="250"/>
      <c r="N62" s="230"/>
      <c r="O62" s="100">
        <f t="shared" si="1"/>
        <v>0</v>
      </c>
      <c r="P62" s="101"/>
      <c r="Q62" s="241"/>
      <c r="R62" s="233"/>
    </row>
    <row r="63" spans="1:18" ht="18" customHeight="1">
      <c r="A63" s="159">
        <v>0</v>
      </c>
      <c r="B63" s="160"/>
      <c r="C63" s="274"/>
      <c r="D63" s="274"/>
      <c r="E63" s="275"/>
      <c r="F63" s="265" t="s">
        <v>611</v>
      </c>
      <c r="G63" s="160"/>
      <c r="H63" s="276"/>
      <c r="I63" s="276"/>
      <c r="J63" s="276"/>
      <c r="K63" s="276"/>
      <c r="L63" s="157">
        <v>1280</v>
      </c>
      <c r="M63" s="250"/>
      <c r="N63" s="277"/>
      <c r="O63" s="100">
        <f t="shared" si="1"/>
        <v>0</v>
      </c>
      <c r="P63" s="101"/>
      <c r="Q63" s="278"/>
      <c r="R63" s="279"/>
    </row>
    <row r="64" spans="1:18" ht="18" customHeight="1">
      <c r="A64" s="159">
        <v>0</v>
      </c>
      <c r="B64" s="160"/>
      <c r="C64" s="274"/>
      <c r="D64" s="274"/>
      <c r="E64" s="275"/>
      <c r="F64" s="265" t="s">
        <v>614</v>
      </c>
      <c r="G64" s="160"/>
      <c r="H64" s="276"/>
      <c r="I64" s="276"/>
      <c r="J64" s="276"/>
      <c r="K64" s="276"/>
      <c r="L64" s="157">
        <v>1400</v>
      </c>
      <c r="M64" s="250"/>
      <c r="N64" s="277"/>
      <c r="O64" s="100">
        <f t="shared" si="1"/>
        <v>0</v>
      </c>
      <c r="P64" s="101"/>
      <c r="Q64" s="278"/>
      <c r="R64" s="279"/>
    </row>
    <row r="65" spans="1:18" ht="18" customHeight="1">
      <c r="A65" s="159">
        <v>0</v>
      </c>
      <c r="B65" s="160"/>
      <c r="C65" s="274"/>
      <c r="D65" s="274"/>
      <c r="E65" s="275"/>
      <c r="F65" s="265" t="s">
        <v>620</v>
      </c>
      <c r="G65" s="160"/>
      <c r="H65" s="276"/>
      <c r="I65" s="276"/>
      <c r="J65" s="276"/>
      <c r="K65" s="276"/>
      <c r="L65" s="157">
        <v>2472</v>
      </c>
      <c r="M65" s="250"/>
      <c r="N65" s="277"/>
      <c r="O65" s="100">
        <f t="shared" si="1"/>
        <v>0</v>
      </c>
      <c r="P65" s="101"/>
      <c r="Q65" s="278"/>
      <c r="R65" s="279"/>
    </row>
    <row r="66" spans="1:18" ht="18" customHeight="1">
      <c r="A66" s="159">
        <v>0</v>
      </c>
      <c r="B66" s="160"/>
      <c r="C66" s="274"/>
      <c r="D66" s="274"/>
      <c r="E66" s="275"/>
      <c r="F66" s="265" t="s">
        <v>627</v>
      </c>
      <c r="G66" s="160"/>
      <c r="H66" s="276"/>
      <c r="I66" s="276"/>
      <c r="J66" s="276"/>
      <c r="K66" s="276"/>
      <c r="L66" s="157">
        <v>2560</v>
      </c>
      <c r="M66" s="250"/>
      <c r="N66" s="277"/>
      <c r="O66" s="100">
        <f t="shared" si="1"/>
        <v>0</v>
      </c>
      <c r="P66" s="101"/>
      <c r="Q66" s="278"/>
      <c r="R66" s="279"/>
    </row>
    <row r="67" spans="1:18" ht="18" customHeight="1">
      <c r="A67" s="159">
        <v>0</v>
      </c>
      <c r="B67" s="160"/>
      <c r="C67" s="274"/>
      <c r="D67" s="274"/>
      <c r="E67" s="275"/>
      <c r="F67" s="265" t="s">
        <v>103</v>
      </c>
      <c r="G67" s="160"/>
      <c r="H67" s="276"/>
      <c r="I67" s="276"/>
      <c r="J67" s="276"/>
      <c r="K67" s="276"/>
      <c r="L67" s="157">
        <v>4080</v>
      </c>
      <c r="M67" s="250"/>
      <c r="N67" s="277"/>
      <c r="O67" s="100">
        <f t="shared" si="1"/>
        <v>0</v>
      </c>
      <c r="P67" s="101"/>
      <c r="Q67" s="278"/>
      <c r="R67" s="279"/>
    </row>
    <row r="68" spans="1:18" ht="18" customHeight="1">
      <c r="A68" s="159">
        <v>0</v>
      </c>
      <c r="B68" s="160"/>
      <c r="C68" s="274"/>
      <c r="D68" s="274"/>
      <c r="E68" s="275"/>
      <c r="F68" s="265" t="s">
        <v>191</v>
      </c>
      <c r="G68" s="160"/>
      <c r="H68" s="276"/>
      <c r="I68" s="276"/>
      <c r="J68" s="276"/>
      <c r="K68" s="276"/>
      <c r="L68" s="157">
        <v>400</v>
      </c>
      <c r="M68" s="250"/>
      <c r="N68" s="277"/>
      <c r="O68" s="100">
        <f t="shared" si="1"/>
        <v>0</v>
      </c>
      <c r="P68" s="101"/>
      <c r="Q68" s="278"/>
      <c r="R68" s="279"/>
    </row>
    <row r="69" spans="1:18" ht="18" customHeight="1">
      <c r="A69" s="159">
        <v>0</v>
      </c>
      <c r="B69" s="160"/>
      <c r="C69" s="274"/>
      <c r="D69" s="274"/>
      <c r="E69" s="275"/>
      <c r="F69" s="265" t="s">
        <v>596</v>
      </c>
      <c r="G69" s="160"/>
      <c r="H69" s="276"/>
      <c r="I69" s="276"/>
      <c r="J69" s="276"/>
      <c r="K69" s="276"/>
      <c r="L69" s="157">
        <v>1345</v>
      </c>
      <c r="M69" s="250"/>
      <c r="N69" s="277"/>
      <c r="O69" s="100">
        <f t="shared" si="1"/>
        <v>0</v>
      </c>
      <c r="P69" s="101"/>
      <c r="Q69" s="278"/>
      <c r="R69" s="279"/>
    </row>
    <row r="70" spans="1:18" ht="18" customHeight="1">
      <c r="A70" s="159">
        <v>0</v>
      </c>
      <c r="B70" s="160"/>
      <c r="C70" s="274"/>
      <c r="D70" s="274"/>
      <c r="E70" s="275"/>
      <c r="F70" s="265" t="s">
        <v>386</v>
      </c>
      <c r="G70" s="160"/>
      <c r="H70" s="276"/>
      <c r="I70" s="276"/>
      <c r="J70" s="276"/>
      <c r="K70" s="276"/>
      <c r="L70" s="157">
        <v>1879</v>
      </c>
      <c r="M70" s="250"/>
      <c r="N70" s="277"/>
      <c r="O70" s="100">
        <f t="shared" si="1"/>
        <v>0</v>
      </c>
      <c r="P70" s="101"/>
      <c r="Q70" s="278"/>
      <c r="R70" s="279"/>
    </row>
    <row r="71" spans="1:18" ht="18" customHeight="1">
      <c r="A71" s="159">
        <v>0</v>
      </c>
      <c r="B71" s="160"/>
      <c r="C71" s="274"/>
      <c r="D71" s="274"/>
      <c r="E71" s="275"/>
      <c r="F71" s="265" t="s">
        <v>133</v>
      </c>
      <c r="G71" s="160"/>
      <c r="H71" s="276"/>
      <c r="I71" s="276"/>
      <c r="J71" s="276"/>
      <c r="K71" s="276"/>
      <c r="L71" s="157">
        <v>400</v>
      </c>
      <c r="M71" s="250"/>
      <c r="N71" s="277"/>
      <c r="O71" s="100">
        <f t="shared" si="1"/>
        <v>0</v>
      </c>
      <c r="P71" s="101"/>
      <c r="Q71" s="278"/>
      <c r="R71" s="279"/>
    </row>
    <row r="72" spans="1:18" ht="18" customHeight="1">
      <c r="A72" s="159">
        <v>0</v>
      </c>
      <c r="B72" s="160"/>
      <c r="C72" s="274"/>
      <c r="D72" s="274"/>
      <c r="E72" s="275"/>
      <c r="F72" s="265" t="s">
        <v>119</v>
      </c>
      <c r="G72" s="160"/>
      <c r="H72" s="276"/>
      <c r="I72" s="276"/>
      <c r="J72" s="276"/>
      <c r="K72" s="276"/>
      <c r="L72" s="157">
        <v>146</v>
      </c>
      <c r="M72" s="250"/>
      <c r="N72" s="277"/>
      <c r="O72" s="100">
        <f t="shared" si="1"/>
        <v>0</v>
      </c>
      <c r="P72" s="101"/>
      <c r="Q72" s="278"/>
      <c r="R72" s="279"/>
    </row>
    <row r="73" spans="1:18" ht="18" customHeight="1">
      <c r="A73" s="159">
        <v>0</v>
      </c>
      <c r="B73" s="160"/>
      <c r="C73" s="274"/>
      <c r="D73" s="274"/>
      <c r="E73" s="275"/>
      <c r="F73" s="265" t="s">
        <v>613</v>
      </c>
      <c r="G73" s="160"/>
      <c r="H73" s="276"/>
      <c r="I73" s="276"/>
      <c r="J73" s="276"/>
      <c r="K73" s="276"/>
      <c r="L73" s="157">
        <v>1358</v>
      </c>
      <c r="M73" s="250"/>
      <c r="N73" s="277"/>
      <c r="O73" s="100">
        <f t="shared" si="1"/>
        <v>0</v>
      </c>
      <c r="P73" s="101"/>
      <c r="Q73" s="278"/>
      <c r="R73" s="279"/>
    </row>
    <row r="74" spans="1:18" ht="18" customHeight="1">
      <c r="A74" s="159">
        <v>0</v>
      </c>
      <c r="B74" s="160"/>
      <c r="C74" s="274"/>
      <c r="D74" s="274"/>
      <c r="E74" s="275"/>
      <c r="F74" s="265" t="s">
        <v>172</v>
      </c>
      <c r="G74" s="160"/>
      <c r="H74" s="276"/>
      <c r="I74" s="276"/>
      <c r="J74" s="276"/>
      <c r="K74" s="276"/>
      <c r="L74" s="157">
        <v>2121</v>
      </c>
      <c r="M74" s="250"/>
      <c r="N74" s="277"/>
      <c r="O74" s="100">
        <f t="shared" si="1"/>
        <v>0</v>
      </c>
      <c r="P74" s="101"/>
      <c r="Q74" s="278"/>
      <c r="R74" s="279"/>
    </row>
    <row r="75" spans="1:18" ht="18" customHeight="1">
      <c r="A75" s="159">
        <v>0</v>
      </c>
      <c r="B75" s="160"/>
      <c r="C75" s="274"/>
      <c r="D75" s="274"/>
      <c r="E75" s="275"/>
      <c r="F75" s="265" t="s">
        <v>710</v>
      </c>
      <c r="G75" s="160"/>
      <c r="H75" s="276"/>
      <c r="I75" s="276"/>
      <c r="J75" s="276"/>
      <c r="K75" s="276"/>
      <c r="L75" s="157">
        <v>164</v>
      </c>
      <c r="M75" s="250"/>
      <c r="N75" s="277"/>
      <c r="O75" s="100">
        <f t="shared" si="1"/>
        <v>0</v>
      </c>
      <c r="P75" s="101"/>
      <c r="Q75" s="278"/>
      <c r="R75" s="279"/>
    </row>
    <row r="76" spans="1:18" ht="18" customHeight="1">
      <c r="A76" s="159">
        <v>0</v>
      </c>
      <c r="B76" s="160"/>
      <c r="C76" s="274"/>
      <c r="D76" s="274"/>
      <c r="E76" s="275"/>
      <c r="F76" s="265" t="s">
        <v>612</v>
      </c>
      <c r="G76" s="160"/>
      <c r="H76" s="276"/>
      <c r="I76" s="276"/>
      <c r="J76" s="276"/>
      <c r="K76" s="276"/>
      <c r="L76" s="157">
        <v>1358</v>
      </c>
      <c r="M76" s="250"/>
      <c r="N76" s="277"/>
      <c r="O76" s="100">
        <f t="shared" si="1"/>
        <v>0</v>
      </c>
      <c r="P76" s="101"/>
      <c r="Q76" s="278"/>
      <c r="R76" s="279"/>
    </row>
    <row r="77" spans="1:18" ht="18" customHeight="1">
      <c r="A77" s="159">
        <v>0</v>
      </c>
      <c r="B77" s="160"/>
      <c r="C77" s="274"/>
      <c r="D77" s="274"/>
      <c r="E77" s="275"/>
      <c r="F77" s="265" t="s">
        <v>648</v>
      </c>
      <c r="G77" s="160"/>
      <c r="H77" s="276"/>
      <c r="I77" s="276"/>
      <c r="J77" s="276"/>
      <c r="K77" s="276"/>
      <c r="L77" s="157">
        <v>12000</v>
      </c>
      <c r="M77" s="250"/>
      <c r="N77" s="277"/>
      <c r="O77" s="100">
        <f t="shared" si="1"/>
        <v>0</v>
      </c>
      <c r="P77" s="101"/>
      <c r="Q77" s="278"/>
      <c r="R77" s="279"/>
    </row>
    <row r="78" spans="1:18" ht="18" customHeight="1">
      <c r="A78" s="159">
        <v>0</v>
      </c>
      <c r="B78" s="160"/>
      <c r="C78" s="274"/>
      <c r="D78" s="274"/>
      <c r="E78" s="275"/>
      <c r="F78" s="265" t="s">
        <v>109</v>
      </c>
      <c r="G78" s="160"/>
      <c r="H78" s="276"/>
      <c r="I78" s="276"/>
      <c r="J78" s="276"/>
      <c r="K78" s="276"/>
      <c r="L78" s="157">
        <v>51000</v>
      </c>
      <c r="M78" s="250"/>
      <c r="N78" s="277"/>
      <c r="O78" s="100">
        <f t="shared" si="1"/>
        <v>0</v>
      </c>
      <c r="P78" s="101"/>
      <c r="Q78" s="278"/>
      <c r="R78" s="279"/>
    </row>
    <row r="79" spans="1:18" ht="18" customHeight="1">
      <c r="A79" s="159">
        <v>0</v>
      </c>
      <c r="B79" s="160"/>
      <c r="C79" s="274"/>
      <c r="D79" s="274"/>
      <c r="E79" s="275"/>
      <c r="F79" s="265" t="s">
        <v>65</v>
      </c>
      <c r="G79" s="160"/>
      <c r="H79" s="276"/>
      <c r="I79" s="276"/>
      <c r="J79" s="276"/>
      <c r="K79" s="276"/>
      <c r="L79" s="157">
        <v>70000</v>
      </c>
      <c r="M79" s="250"/>
      <c r="N79" s="277"/>
      <c r="O79" s="100">
        <f t="shared" si="1"/>
        <v>0</v>
      </c>
      <c r="P79" s="101"/>
      <c r="Q79" s="278"/>
      <c r="R79" s="279"/>
    </row>
    <row r="80" spans="1:18" ht="18" customHeight="1">
      <c r="A80" s="159">
        <v>0</v>
      </c>
      <c r="B80" s="160"/>
      <c r="C80" s="274"/>
      <c r="D80" s="274"/>
      <c r="E80" s="275"/>
      <c r="F80" s="265" t="s">
        <v>649</v>
      </c>
      <c r="G80" s="160"/>
      <c r="H80" s="276"/>
      <c r="I80" s="276"/>
      <c r="J80" s="276"/>
      <c r="K80" s="276"/>
      <c r="L80" s="157">
        <v>2000</v>
      </c>
      <c r="M80" s="250"/>
      <c r="N80" s="277"/>
      <c r="O80" s="100">
        <f t="shared" si="1"/>
        <v>0</v>
      </c>
      <c r="P80" s="101"/>
      <c r="Q80" s="278"/>
      <c r="R80" s="279"/>
    </row>
    <row r="81" spans="1:18" ht="18" customHeight="1">
      <c r="A81" s="159">
        <v>0</v>
      </c>
      <c r="B81" s="160"/>
      <c r="C81" s="274"/>
      <c r="D81" s="274"/>
      <c r="E81" s="275"/>
      <c r="F81" s="265" t="s">
        <v>651</v>
      </c>
      <c r="G81" s="160"/>
      <c r="H81" s="276"/>
      <c r="I81" s="276"/>
      <c r="J81" s="276"/>
      <c r="K81" s="276"/>
      <c r="L81" s="157">
        <v>20000</v>
      </c>
      <c r="M81" s="250"/>
      <c r="N81" s="277"/>
      <c r="O81" s="100">
        <f t="shared" si="1"/>
        <v>0</v>
      </c>
      <c r="P81" s="101"/>
      <c r="Q81" s="278"/>
      <c r="R81" s="279"/>
    </row>
    <row r="82" spans="1:18" ht="18" customHeight="1">
      <c r="A82" s="159">
        <v>0</v>
      </c>
      <c r="B82" s="160"/>
      <c r="C82" s="274"/>
      <c r="D82" s="274"/>
      <c r="E82" s="275"/>
      <c r="F82" s="265" t="s">
        <v>104</v>
      </c>
      <c r="G82" s="160"/>
      <c r="H82" s="276"/>
      <c r="I82" s="276"/>
      <c r="J82" s="276"/>
      <c r="K82" s="276"/>
      <c r="L82" s="157">
        <v>900</v>
      </c>
      <c r="M82" s="250"/>
      <c r="N82" s="277"/>
      <c r="O82" s="100">
        <f t="shared" si="1"/>
        <v>0</v>
      </c>
      <c r="P82" s="101"/>
      <c r="Q82" s="278"/>
      <c r="R82" s="279"/>
    </row>
    <row r="83" spans="1:18" ht="18" customHeight="1">
      <c r="A83" s="159">
        <v>0</v>
      </c>
      <c r="B83" s="160"/>
      <c r="C83" s="274"/>
      <c r="D83" s="274"/>
      <c r="E83" s="275"/>
      <c r="F83" s="265" t="s">
        <v>161</v>
      </c>
      <c r="G83" s="160"/>
      <c r="H83" s="276"/>
      <c r="I83" s="276"/>
      <c r="J83" s="276"/>
      <c r="K83" s="276"/>
      <c r="L83" s="157">
        <v>1878</v>
      </c>
      <c r="M83" s="250"/>
      <c r="N83" s="277"/>
      <c r="O83" s="100">
        <f t="shared" si="1"/>
        <v>0</v>
      </c>
      <c r="P83" s="101"/>
      <c r="Q83" s="278"/>
      <c r="R83" s="279"/>
    </row>
    <row r="84" spans="1:18" ht="18" customHeight="1">
      <c r="A84" s="159">
        <v>0</v>
      </c>
      <c r="B84" s="160"/>
      <c r="C84" s="274"/>
      <c r="D84" s="274"/>
      <c r="E84" s="275"/>
      <c r="F84" s="265" t="s">
        <v>626</v>
      </c>
      <c r="G84" s="160"/>
      <c r="H84" s="276"/>
      <c r="I84" s="276"/>
      <c r="J84" s="276"/>
      <c r="K84" s="276"/>
      <c r="L84" s="157">
        <v>1600</v>
      </c>
      <c r="M84" s="250"/>
      <c r="N84" s="277"/>
      <c r="O84" s="100">
        <f t="shared" si="1"/>
        <v>0</v>
      </c>
      <c r="P84" s="101"/>
      <c r="Q84" s="278"/>
      <c r="R84" s="279"/>
    </row>
    <row r="85" spans="1:18" ht="18" customHeight="1">
      <c r="A85" s="159">
        <v>0</v>
      </c>
      <c r="B85" s="160"/>
      <c r="C85" s="274"/>
      <c r="D85" s="274"/>
      <c r="E85" s="275"/>
      <c r="F85" s="265" t="s">
        <v>678</v>
      </c>
      <c r="G85" s="160"/>
      <c r="H85" s="276"/>
      <c r="I85" s="276"/>
      <c r="J85" s="276"/>
      <c r="K85" s="276"/>
      <c r="L85" s="157">
        <v>630</v>
      </c>
      <c r="M85" s="250"/>
      <c r="N85" s="277"/>
      <c r="O85" s="100">
        <f t="shared" si="1"/>
        <v>0</v>
      </c>
      <c r="P85" s="101"/>
      <c r="Q85" s="278"/>
      <c r="R85" s="279"/>
    </row>
    <row r="86" spans="1:18" ht="18" customHeight="1">
      <c r="A86" s="159">
        <v>0</v>
      </c>
      <c r="B86" s="160"/>
      <c r="C86" s="274"/>
      <c r="D86" s="274"/>
      <c r="E86" s="275"/>
      <c r="F86" s="265" t="s">
        <v>640</v>
      </c>
      <c r="G86" s="160"/>
      <c r="H86" s="276"/>
      <c r="I86" s="276"/>
      <c r="J86" s="276"/>
      <c r="K86" s="276"/>
      <c r="L86" s="157">
        <v>3000</v>
      </c>
      <c r="M86" s="250"/>
      <c r="N86" s="277"/>
      <c r="O86" s="100">
        <f t="shared" si="1"/>
        <v>0</v>
      </c>
      <c r="P86" s="101"/>
      <c r="Q86" s="278"/>
      <c r="R86" s="279"/>
    </row>
    <row r="87" spans="1:18" ht="18" customHeight="1">
      <c r="A87" s="159">
        <v>0</v>
      </c>
      <c r="B87" s="160"/>
      <c r="C87" s="274"/>
      <c r="D87" s="274"/>
      <c r="E87" s="275"/>
      <c r="F87" s="265" t="s">
        <v>74</v>
      </c>
      <c r="G87" s="160"/>
      <c r="H87" s="276"/>
      <c r="I87" s="276"/>
      <c r="J87" s="276"/>
      <c r="K87" s="276"/>
      <c r="L87" s="157">
        <v>750</v>
      </c>
      <c r="M87" s="250"/>
      <c r="N87" s="277"/>
      <c r="O87" s="100">
        <f t="shared" si="1"/>
        <v>0</v>
      </c>
      <c r="P87" s="101"/>
      <c r="Q87" s="278"/>
      <c r="R87" s="279"/>
    </row>
    <row r="88" spans="1:18" ht="18" customHeight="1">
      <c r="A88" s="159">
        <v>0</v>
      </c>
      <c r="B88" s="160"/>
      <c r="C88" s="274"/>
      <c r="D88" s="274"/>
      <c r="E88" s="275"/>
      <c r="F88" s="265" t="s">
        <v>709</v>
      </c>
      <c r="G88" s="160"/>
      <c r="H88" s="276"/>
      <c r="I88" s="276"/>
      <c r="J88" s="276"/>
      <c r="K88" s="276"/>
      <c r="L88" s="157">
        <v>800</v>
      </c>
      <c r="M88" s="250"/>
      <c r="N88" s="277"/>
      <c r="O88" s="100">
        <f t="shared" si="1"/>
        <v>0</v>
      </c>
      <c r="P88" s="101"/>
      <c r="Q88" s="278"/>
      <c r="R88" s="279"/>
    </row>
    <row r="89" spans="1:18" ht="18" customHeight="1">
      <c r="A89" s="159">
        <v>0</v>
      </c>
      <c r="B89" s="160"/>
      <c r="C89" s="274"/>
      <c r="D89" s="274"/>
      <c r="E89" s="275"/>
      <c r="F89" s="265" t="s">
        <v>676</v>
      </c>
      <c r="G89" s="160"/>
      <c r="H89" s="276"/>
      <c r="I89" s="276"/>
      <c r="J89" s="276"/>
      <c r="K89" s="276"/>
      <c r="L89" s="157">
        <v>800</v>
      </c>
      <c r="M89" s="250"/>
      <c r="N89" s="277"/>
      <c r="O89" s="100">
        <f t="shared" si="1"/>
        <v>0</v>
      </c>
      <c r="P89" s="101"/>
      <c r="Q89" s="278"/>
      <c r="R89" s="279"/>
    </row>
    <row r="90" spans="1:18" ht="18" customHeight="1">
      <c r="A90" s="159">
        <v>0</v>
      </c>
      <c r="B90" s="160"/>
      <c r="C90" s="274"/>
      <c r="D90" s="274"/>
      <c r="E90" s="275"/>
      <c r="F90" s="265" t="s">
        <v>629</v>
      </c>
      <c r="G90" s="160"/>
      <c r="H90" s="276"/>
      <c r="I90" s="276"/>
      <c r="J90" s="276"/>
      <c r="K90" s="276"/>
      <c r="L90" s="157">
        <v>1800</v>
      </c>
      <c r="M90" s="250"/>
      <c r="N90" s="277"/>
      <c r="O90" s="100">
        <f t="shared" si="1"/>
        <v>0</v>
      </c>
      <c r="P90" s="101"/>
      <c r="Q90" s="278"/>
      <c r="R90" s="279"/>
    </row>
    <row r="91" spans="1:18" ht="18" customHeight="1">
      <c r="A91" s="159">
        <v>0</v>
      </c>
      <c r="B91" s="160"/>
      <c r="C91" s="274"/>
      <c r="D91" s="274"/>
      <c r="E91" s="275"/>
      <c r="F91" s="265" t="s">
        <v>174</v>
      </c>
      <c r="G91" s="160"/>
      <c r="H91" s="276"/>
      <c r="I91" s="276"/>
      <c r="J91" s="276"/>
      <c r="K91" s="276"/>
      <c r="L91" s="157">
        <v>3500</v>
      </c>
      <c r="M91" s="250"/>
      <c r="N91" s="277"/>
      <c r="O91" s="100">
        <f t="shared" si="1"/>
        <v>0</v>
      </c>
      <c r="P91" s="101"/>
      <c r="Q91" s="278"/>
      <c r="R91" s="279"/>
    </row>
    <row r="92" spans="1:18" ht="18" customHeight="1">
      <c r="A92" s="159">
        <v>0</v>
      </c>
      <c r="B92" s="160"/>
      <c r="C92" s="274"/>
      <c r="D92" s="274"/>
      <c r="E92" s="275"/>
      <c r="F92" s="265" t="s">
        <v>624</v>
      </c>
      <c r="G92" s="160"/>
      <c r="H92" s="276"/>
      <c r="I92" s="276"/>
      <c r="J92" s="276"/>
      <c r="K92" s="276"/>
      <c r="L92" s="157">
        <v>1500</v>
      </c>
      <c r="M92" s="250"/>
      <c r="N92" s="277"/>
      <c r="O92" s="100">
        <f t="shared" si="1"/>
        <v>0</v>
      </c>
      <c r="P92" s="101"/>
      <c r="Q92" s="278"/>
      <c r="R92" s="279"/>
    </row>
    <row r="93" spans="1:18" ht="18" customHeight="1">
      <c r="A93" s="159">
        <v>0</v>
      </c>
      <c r="B93" s="160"/>
      <c r="C93" s="274"/>
      <c r="D93" s="274"/>
      <c r="E93" s="275"/>
      <c r="F93" s="265" t="s">
        <v>175</v>
      </c>
      <c r="G93" s="160"/>
      <c r="H93" s="276"/>
      <c r="I93" s="276"/>
      <c r="J93" s="276"/>
      <c r="K93" s="276"/>
      <c r="L93" s="157">
        <v>2061</v>
      </c>
      <c r="M93" s="250"/>
      <c r="N93" s="277"/>
      <c r="O93" s="100">
        <f t="shared" si="1"/>
        <v>0</v>
      </c>
      <c r="P93" s="101"/>
      <c r="Q93" s="278"/>
      <c r="R93" s="279"/>
    </row>
    <row r="94" spans="1:18" ht="18" customHeight="1">
      <c r="A94" s="159">
        <v>0</v>
      </c>
      <c r="B94" s="160"/>
      <c r="C94" s="274"/>
      <c r="D94" s="274"/>
      <c r="E94" s="275"/>
      <c r="F94" s="265" t="s">
        <v>697</v>
      </c>
      <c r="G94" s="160"/>
      <c r="H94" s="276"/>
      <c r="I94" s="276"/>
      <c r="J94" s="276"/>
      <c r="K94" s="276"/>
      <c r="L94" s="157">
        <v>2000</v>
      </c>
      <c r="M94" s="250"/>
      <c r="N94" s="277"/>
      <c r="O94" s="100">
        <f t="shared" si="1"/>
        <v>0</v>
      </c>
      <c r="P94" s="101"/>
      <c r="Q94" s="278"/>
      <c r="R94" s="279"/>
    </row>
    <row r="95" spans="1:18" ht="18" customHeight="1">
      <c r="A95" s="159">
        <v>0</v>
      </c>
      <c r="B95" s="160"/>
      <c r="C95" s="274"/>
      <c r="D95" s="274"/>
      <c r="E95" s="275"/>
      <c r="F95" s="265" t="s">
        <v>605</v>
      </c>
      <c r="G95" s="160"/>
      <c r="H95" s="276"/>
      <c r="I95" s="276"/>
      <c r="J95" s="276"/>
      <c r="K95" s="276"/>
      <c r="L95" s="157">
        <v>2240</v>
      </c>
      <c r="M95" s="250"/>
      <c r="N95" s="277"/>
      <c r="O95" s="100">
        <f t="shared" si="1"/>
        <v>0</v>
      </c>
      <c r="P95" s="101"/>
      <c r="Q95" s="278"/>
      <c r="R95" s="279"/>
    </row>
    <row r="96" spans="1:18" ht="18" customHeight="1">
      <c r="A96" s="159">
        <v>0</v>
      </c>
      <c r="B96" s="160"/>
      <c r="C96" s="274"/>
      <c r="D96" s="274"/>
      <c r="E96" s="275"/>
      <c r="F96" s="265" t="s">
        <v>120</v>
      </c>
      <c r="G96" s="160"/>
      <c r="H96" s="276"/>
      <c r="I96" s="276"/>
      <c r="J96" s="276"/>
      <c r="K96" s="276"/>
      <c r="L96" s="157">
        <v>200</v>
      </c>
      <c r="M96" s="250"/>
      <c r="N96" s="277"/>
      <c r="O96" s="100">
        <f t="shared" si="1"/>
        <v>0</v>
      </c>
      <c r="P96" s="101"/>
      <c r="Q96" s="278"/>
      <c r="R96" s="279"/>
    </row>
    <row r="97" spans="1:18" ht="18" customHeight="1">
      <c r="A97" s="159">
        <v>0</v>
      </c>
      <c r="B97" s="160"/>
      <c r="C97" s="274"/>
      <c r="D97" s="274"/>
      <c r="E97" s="275"/>
      <c r="F97" s="265" t="s">
        <v>679</v>
      </c>
      <c r="G97" s="160"/>
      <c r="H97" s="276"/>
      <c r="I97" s="276"/>
      <c r="J97" s="276"/>
      <c r="K97" s="276"/>
      <c r="L97" s="157">
        <v>720</v>
      </c>
      <c r="M97" s="250"/>
      <c r="N97" s="277"/>
      <c r="O97" s="100">
        <f t="shared" si="1"/>
        <v>0</v>
      </c>
      <c r="P97" s="101"/>
      <c r="Q97" s="278"/>
      <c r="R97" s="279"/>
    </row>
    <row r="98" spans="1:18" ht="18" customHeight="1">
      <c r="A98" s="159">
        <v>0</v>
      </c>
      <c r="B98" s="160"/>
      <c r="C98" s="274"/>
      <c r="D98" s="274"/>
      <c r="E98" s="275"/>
      <c r="F98" s="265" t="s">
        <v>390</v>
      </c>
      <c r="G98" s="160"/>
      <c r="H98" s="276"/>
      <c r="I98" s="276"/>
      <c r="J98" s="276"/>
      <c r="K98" s="276"/>
      <c r="L98" s="157">
        <v>4000</v>
      </c>
      <c r="M98" s="250"/>
      <c r="N98" s="277"/>
      <c r="O98" s="100">
        <f t="shared" si="1"/>
        <v>0</v>
      </c>
      <c r="P98" s="101"/>
      <c r="Q98" s="278"/>
      <c r="R98" s="279"/>
    </row>
    <row r="99" spans="1:18" ht="18" customHeight="1">
      <c r="A99" s="159">
        <v>0</v>
      </c>
      <c r="B99" s="160"/>
      <c r="C99" s="274"/>
      <c r="D99" s="274"/>
      <c r="E99" s="275"/>
      <c r="F99" s="265" t="s">
        <v>363</v>
      </c>
      <c r="G99" s="160"/>
      <c r="H99" s="276"/>
      <c r="I99" s="276"/>
      <c r="J99" s="276"/>
      <c r="K99" s="276"/>
      <c r="L99" s="157">
        <v>1000</v>
      </c>
      <c r="M99" s="250"/>
      <c r="N99" s="277"/>
      <c r="O99" s="100">
        <f t="shared" si="1"/>
        <v>0</v>
      </c>
      <c r="P99" s="101"/>
      <c r="Q99" s="278"/>
      <c r="R99" s="279"/>
    </row>
    <row r="100" spans="1:18" ht="18" customHeight="1">
      <c r="A100" s="159">
        <v>0</v>
      </c>
      <c r="B100" s="160"/>
      <c r="C100" s="274"/>
      <c r="D100" s="274"/>
      <c r="E100" s="275"/>
      <c r="F100" s="265" t="s">
        <v>370</v>
      </c>
      <c r="G100" s="160"/>
      <c r="H100" s="276"/>
      <c r="I100" s="276"/>
      <c r="J100" s="276"/>
      <c r="K100" s="276"/>
      <c r="L100" s="157">
        <v>2750</v>
      </c>
      <c r="M100" s="250"/>
      <c r="N100" s="277"/>
      <c r="O100" s="100">
        <f t="shared" si="1"/>
        <v>0</v>
      </c>
      <c r="P100" s="101"/>
      <c r="Q100" s="278"/>
      <c r="R100" s="279"/>
    </row>
    <row r="101" spans="1:18" ht="18" customHeight="1">
      <c r="A101" s="159">
        <v>0</v>
      </c>
      <c r="B101" s="160"/>
      <c r="C101" s="274"/>
      <c r="D101" s="274"/>
      <c r="E101" s="275"/>
      <c r="F101" s="265" t="s">
        <v>105</v>
      </c>
      <c r="G101" s="160"/>
      <c r="H101" s="276"/>
      <c r="I101" s="276"/>
      <c r="J101" s="276"/>
      <c r="K101" s="276"/>
      <c r="L101" s="157">
        <v>2400</v>
      </c>
      <c r="M101" s="250"/>
      <c r="N101" s="277"/>
      <c r="O101" s="100">
        <f t="shared" si="1"/>
        <v>0</v>
      </c>
      <c r="P101" s="101"/>
      <c r="Q101" s="278"/>
      <c r="R101" s="279"/>
    </row>
    <row r="102" spans="1:18" ht="18" customHeight="1">
      <c r="A102" s="159">
        <v>0</v>
      </c>
      <c r="B102" s="160"/>
      <c r="C102" s="274"/>
      <c r="D102" s="274"/>
      <c r="E102" s="275"/>
      <c r="F102" s="265" t="s">
        <v>602</v>
      </c>
      <c r="G102" s="160"/>
      <c r="H102" s="276"/>
      <c r="I102" s="276"/>
      <c r="J102" s="276"/>
      <c r="K102" s="276"/>
      <c r="L102" s="157">
        <v>2300</v>
      </c>
      <c r="M102" s="250"/>
      <c r="N102" s="277"/>
      <c r="O102" s="100">
        <f t="shared" si="1"/>
        <v>0</v>
      </c>
      <c r="P102" s="101"/>
      <c r="Q102" s="278"/>
      <c r="R102" s="279"/>
    </row>
    <row r="103" spans="1:18" ht="18" customHeight="1">
      <c r="A103" s="159">
        <v>0</v>
      </c>
      <c r="B103" s="160"/>
      <c r="C103" s="274"/>
      <c r="D103" s="274"/>
      <c r="E103" s="275"/>
      <c r="F103" s="265" t="s">
        <v>377</v>
      </c>
      <c r="G103" s="160"/>
      <c r="H103" s="276"/>
      <c r="I103" s="276"/>
      <c r="J103" s="276"/>
      <c r="K103" s="276"/>
      <c r="L103" s="157">
        <v>3500</v>
      </c>
      <c r="M103" s="250"/>
      <c r="N103" s="277"/>
      <c r="O103" s="100">
        <f t="shared" si="1"/>
        <v>0</v>
      </c>
      <c r="P103" s="101"/>
      <c r="Q103" s="278"/>
      <c r="R103" s="279"/>
    </row>
    <row r="104" spans="1:18" ht="18" customHeight="1">
      <c r="A104" s="159">
        <v>0</v>
      </c>
      <c r="B104" s="160"/>
      <c r="C104" s="274"/>
      <c r="D104" s="274"/>
      <c r="E104" s="275"/>
      <c r="F104" s="265" t="s">
        <v>211</v>
      </c>
      <c r="G104" s="160"/>
      <c r="H104" s="276"/>
      <c r="I104" s="276"/>
      <c r="J104" s="276"/>
      <c r="K104" s="276"/>
      <c r="L104" s="157">
        <v>28000</v>
      </c>
      <c r="M104" s="250"/>
      <c r="N104" s="277"/>
      <c r="O104" s="100">
        <f t="shared" si="1"/>
        <v>0</v>
      </c>
      <c r="P104" s="101"/>
      <c r="Q104" s="278"/>
      <c r="R104" s="279"/>
    </row>
    <row r="105" spans="1:18" ht="18" customHeight="1">
      <c r="A105" s="159">
        <v>0</v>
      </c>
      <c r="B105" s="160"/>
      <c r="C105" s="274"/>
      <c r="D105" s="274"/>
      <c r="E105" s="275"/>
      <c r="F105" s="265" t="s">
        <v>578</v>
      </c>
      <c r="G105" s="160"/>
      <c r="H105" s="276"/>
      <c r="I105" s="276"/>
      <c r="J105" s="276"/>
      <c r="K105" s="276"/>
      <c r="L105" s="157">
        <v>6000</v>
      </c>
      <c r="M105" s="250"/>
      <c r="N105" s="277"/>
      <c r="O105" s="100">
        <f t="shared" si="1"/>
        <v>0</v>
      </c>
      <c r="P105" s="101"/>
      <c r="Q105" s="278"/>
      <c r="R105" s="279"/>
    </row>
    <row r="106" spans="1:18" ht="18" customHeight="1">
      <c r="A106" s="159">
        <v>0</v>
      </c>
      <c r="B106" s="160"/>
      <c r="C106" s="274"/>
      <c r="D106" s="274"/>
      <c r="E106" s="275"/>
      <c r="F106" s="265" t="s">
        <v>556</v>
      </c>
      <c r="G106" s="160"/>
      <c r="H106" s="276"/>
      <c r="I106" s="276"/>
      <c r="J106" s="276"/>
      <c r="K106" s="276"/>
      <c r="L106" s="157">
        <v>28000</v>
      </c>
      <c r="M106" s="250"/>
      <c r="N106" s="277"/>
      <c r="O106" s="100">
        <f t="shared" si="1"/>
        <v>0</v>
      </c>
      <c r="P106" s="101"/>
      <c r="Q106" s="278"/>
      <c r="R106" s="279"/>
    </row>
    <row r="107" spans="1:18" ht="18" customHeight="1">
      <c r="A107" s="159">
        <v>0</v>
      </c>
      <c r="B107" s="160"/>
      <c r="C107" s="274"/>
      <c r="D107" s="274"/>
      <c r="E107" s="275"/>
      <c r="F107" s="265" t="s">
        <v>203</v>
      </c>
      <c r="G107" s="160"/>
      <c r="H107" s="276"/>
      <c r="I107" s="276"/>
      <c r="J107" s="276"/>
      <c r="K107" s="276"/>
      <c r="L107" s="157">
        <v>7000</v>
      </c>
      <c r="M107" s="250"/>
      <c r="N107" s="277"/>
      <c r="O107" s="100">
        <f t="shared" si="1"/>
        <v>0</v>
      </c>
      <c r="P107" s="101"/>
      <c r="Q107" s="278"/>
      <c r="R107" s="279"/>
    </row>
    <row r="108" spans="1:18" ht="18" customHeight="1">
      <c r="A108" s="159">
        <v>0</v>
      </c>
      <c r="B108" s="160"/>
      <c r="C108" s="274"/>
      <c r="D108" s="274"/>
      <c r="E108" s="275"/>
      <c r="F108" s="265" t="s">
        <v>674</v>
      </c>
      <c r="G108" s="160"/>
      <c r="H108" s="276"/>
      <c r="I108" s="276"/>
      <c r="J108" s="276"/>
      <c r="K108" s="276"/>
      <c r="L108" s="157">
        <v>3500</v>
      </c>
      <c r="M108" s="250"/>
      <c r="N108" s="277"/>
      <c r="O108" s="100">
        <f t="shared" si="1"/>
        <v>0</v>
      </c>
      <c r="P108" s="101"/>
      <c r="Q108" s="278"/>
      <c r="R108" s="279"/>
    </row>
    <row r="109" spans="1:18" ht="18" customHeight="1">
      <c r="A109" s="159">
        <v>0</v>
      </c>
      <c r="B109" s="160"/>
      <c r="C109" s="274"/>
      <c r="D109" s="274"/>
      <c r="E109" s="275"/>
      <c r="F109" s="265" t="s">
        <v>659</v>
      </c>
      <c r="G109" s="160"/>
      <c r="H109" s="276"/>
      <c r="I109" s="276"/>
      <c r="J109" s="276"/>
      <c r="K109" s="276"/>
      <c r="L109" s="157">
        <v>3000</v>
      </c>
      <c r="M109" s="250"/>
      <c r="N109" s="277"/>
      <c r="O109" s="100">
        <f t="shared" si="1"/>
        <v>0</v>
      </c>
      <c r="P109" s="101"/>
      <c r="Q109" s="278"/>
      <c r="R109" s="279"/>
    </row>
    <row r="110" spans="1:18" ht="18" customHeight="1">
      <c r="A110" s="159">
        <v>0</v>
      </c>
      <c r="B110" s="160"/>
      <c r="C110" s="274"/>
      <c r="D110" s="274"/>
      <c r="E110" s="275"/>
      <c r="F110" s="265" t="s">
        <v>588</v>
      </c>
      <c r="G110" s="160"/>
      <c r="H110" s="276"/>
      <c r="I110" s="276"/>
      <c r="J110" s="276"/>
      <c r="K110" s="276"/>
      <c r="L110" s="157">
        <v>18000</v>
      </c>
      <c r="M110" s="250"/>
      <c r="N110" s="277"/>
      <c r="O110" s="100">
        <f t="shared" si="1"/>
        <v>0</v>
      </c>
      <c r="P110" s="101"/>
      <c r="Q110" s="278"/>
      <c r="R110" s="279"/>
    </row>
    <row r="111" spans="1:18" ht="18" customHeight="1">
      <c r="A111" s="159">
        <v>0</v>
      </c>
      <c r="B111" s="160"/>
      <c r="C111" s="274"/>
      <c r="D111" s="274"/>
      <c r="E111" s="275"/>
      <c r="F111" s="265" t="s">
        <v>396</v>
      </c>
      <c r="G111" s="160"/>
      <c r="H111" s="276"/>
      <c r="I111" s="276"/>
      <c r="J111" s="276"/>
      <c r="K111" s="276"/>
      <c r="L111" s="157">
        <v>15000</v>
      </c>
      <c r="M111" s="250"/>
      <c r="N111" s="277"/>
      <c r="O111" s="100">
        <f t="shared" si="1"/>
        <v>0</v>
      </c>
      <c r="P111" s="101"/>
      <c r="Q111" s="278"/>
      <c r="R111" s="279"/>
    </row>
    <row r="112" spans="1:18" ht="18" customHeight="1">
      <c r="A112" s="159">
        <v>0</v>
      </c>
      <c r="B112" s="160"/>
      <c r="C112" s="274"/>
      <c r="D112" s="274"/>
      <c r="E112" s="275"/>
      <c r="F112" s="265" t="s">
        <v>201</v>
      </c>
      <c r="G112" s="160"/>
      <c r="H112" s="276"/>
      <c r="I112" s="276"/>
      <c r="J112" s="276"/>
      <c r="K112" s="276"/>
      <c r="L112" s="157">
        <v>4000</v>
      </c>
      <c r="M112" s="250"/>
      <c r="N112" s="277"/>
      <c r="O112" s="100">
        <f t="shared" si="1"/>
        <v>0</v>
      </c>
      <c r="P112" s="101"/>
      <c r="Q112" s="278"/>
      <c r="R112" s="279"/>
    </row>
    <row r="113" spans="1:18" ht="18" customHeight="1">
      <c r="A113" s="159">
        <v>0</v>
      </c>
      <c r="B113" s="160"/>
      <c r="C113" s="274"/>
      <c r="D113" s="274"/>
      <c r="E113" s="275"/>
      <c r="F113" s="265" t="s">
        <v>224</v>
      </c>
      <c r="G113" s="160"/>
      <c r="H113" s="276"/>
      <c r="I113" s="276"/>
      <c r="J113" s="276"/>
      <c r="K113" s="276"/>
      <c r="L113" s="157">
        <v>10000</v>
      </c>
      <c r="M113" s="250"/>
      <c r="N113" s="277"/>
      <c r="O113" s="100">
        <f t="shared" si="1"/>
        <v>0</v>
      </c>
      <c r="P113" s="101"/>
      <c r="Q113" s="278"/>
      <c r="R113" s="279"/>
    </row>
    <row r="114" spans="1:18" ht="18" customHeight="1">
      <c r="A114" s="159">
        <v>0</v>
      </c>
      <c r="B114" s="160"/>
      <c r="C114" s="274"/>
      <c r="D114" s="274"/>
      <c r="E114" s="275"/>
      <c r="F114" s="265" t="s">
        <v>202</v>
      </c>
      <c r="G114" s="160"/>
      <c r="H114" s="276"/>
      <c r="I114" s="276"/>
      <c r="J114" s="276"/>
      <c r="K114" s="276"/>
      <c r="L114" s="157">
        <v>6500</v>
      </c>
      <c r="M114" s="250"/>
      <c r="N114" s="277"/>
      <c r="O114" s="100">
        <f t="shared" si="1"/>
        <v>0</v>
      </c>
      <c r="P114" s="101"/>
      <c r="Q114" s="278"/>
      <c r="R114" s="279"/>
    </row>
    <row r="115" spans="1:18" ht="18" customHeight="1">
      <c r="A115" s="159">
        <v>0</v>
      </c>
      <c r="B115" s="160"/>
      <c r="C115" s="274"/>
      <c r="D115" s="274"/>
      <c r="E115" s="275"/>
      <c r="F115" s="265" t="s">
        <v>221</v>
      </c>
      <c r="G115" s="160"/>
      <c r="H115" s="276"/>
      <c r="I115" s="276"/>
      <c r="J115" s="276"/>
      <c r="K115" s="276"/>
      <c r="L115" s="157">
        <v>35000</v>
      </c>
      <c r="M115" s="250"/>
      <c r="N115" s="277"/>
      <c r="O115" s="100">
        <f t="shared" si="1"/>
        <v>0</v>
      </c>
      <c r="P115" s="101"/>
      <c r="Q115" s="278"/>
      <c r="R115" s="279"/>
    </row>
    <row r="116" spans="1:18" ht="18" customHeight="1">
      <c r="A116" s="159">
        <v>0</v>
      </c>
      <c r="B116" s="160"/>
      <c r="C116" s="274"/>
      <c r="D116" s="274"/>
      <c r="E116" s="275"/>
      <c r="F116" s="265" t="s">
        <v>198</v>
      </c>
      <c r="G116" s="160"/>
      <c r="H116" s="276"/>
      <c r="I116" s="276"/>
      <c r="J116" s="276"/>
      <c r="K116" s="276"/>
      <c r="L116" s="157">
        <v>23000</v>
      </c>
      <c r="M116" s="250"/>
      <c r="N116" s="277"/>
      <c r="O116" s="100">
        <f t="shared" si="1"/>
        <v>0</v>
      </c>
      <c r="P116" s="101"/>
      <c r="Q116" s="278"/>
      <c r="R116" s="279"/>
    </row>
    <row r="117" spans="1:18" ht="18" customHeight="1">
      <c r="A117" s="159">
        <v>0</v>
      </c>
      <c r="B117" s="160"/>
      <c r="C117" s="274"/>
      <c r="D117" s="274"/>
      <c r="E117" s="275"/>
      <c r="F117" s="265" t="s">
        <v>204</v>
      </c>
      <c r="G117" s="160"/>
      <c r="H117" s="276"/>
      <c r="I117" s="276"/>
      <c r="J117" s="276"/>
      <c r="K117" s="276"/>
      <c r="L117" s="157">
        <v>8000</v>
      </c>
      <c r="M117" s="250"/>
      <c r="N117" s="277"/>
      <c r="O117" s="100">
        <f t="shared" si="1"/>
        <v>0</v>
      </c>
      <c r="P117" s="101"/>
      <c r="Q117" s="278"/>
      <c r="R117" s="279"/>
    </row>
    <row r="118" spans="1:18" ht="18" customHeight="1">
      <c r="A118" s="159">
        <v>0</v>
      </c>
      <c r="B118" s="160"/>
      <c r="C118" s="274"/>
      <c r="D118" s="274"/>
      <c r="E118" s="275"/>
      <c r="F118" s="265" t="s">
        <v>393</v>
      </c>
      <c r="G118" s="160"/>
      <c r="H118" s="276"/>
      <c r="I118" s="276"/>
      <c r="J118" s="276"/>
      <c r="K118" s="276"/>
      <c r="L118" s="157">
        <v>5400</v>
      </c>
      <c r="M118" s="250"/>
      <c r="N118" s="277"/>
      <c r="O118" s="100">
        <f t="shared" si="1"/>
        <v>0</v>
      </c>
      <c r="P118" s="101"/>
      <c r="Q118" s="278"/>
      <c r="R118" s="279"/>
    </row>
    <row r="119" spans="1:18" ht="18" customHeight="1">
      <c r="A119" s="159">
        <v>0</v>
      </c>
      <c r="B119" s="160"/>
      <c r="C119" s="274"/>
      <c r="D119" s="274"/>
      <c r="E119" s="275"/>
      <c r="F119" s="265" t="s">
        <v>207</v>
      </c>
      <c r="G119" s="160"/>
      <c r="H119" s="276"/>
      <c r="I119" s="276"/>
      <c r="J119" s="276"/>
      <c r="K119" s="276"/>
      <c r="L119" s="157">
        <v>17500</v>
      </c>
      <c r="M119" s="250"/>
      <c r="N119" s="277"/>
      <c r="O119" s="100">
        <f t="shared" si="1"/>
        <v>0</v>
      </c>
      <c r="P119" s="101"/>
      <c r="Q119" s="278"/>
      <c r="R119" s="279"/>
    </row>
    <row r="120" spans="1:18" ht="18" customHeight="1">
      <c r="A120" s="159">
        <v>0</v>
      </c>
      <c r="B120" s="160"/>
      <c r="C120" s="274"/>
      <c r="D120" s="274"/>
      <c r="E120" s="275"/>
      <c r="F120" s="265" t="s">
        <v>705</v>
      </c>
      <c r="G120" s="160"/>
      <c r="H120" s="276"/>
      <c r="I120" s="276"/>
      <c r="J120" s="276"/>
      <c r="K120" s="276"/>
      <c r="L120" s="157">
        <v>1800</v>
      </c>
      <c r="M120" s="250"/>
      <c r="N120" s="277"/>
      <c r="O120" s="100">
        <f t="shared" si="1"/>
        <v>0</v>
      </c>
      <c r="P120" s="101"/>
      <c r="Q120" s="278"/>
      <c r="R120" s="279"/>
    </row>
    <row r="121" spans="1:18" ht="18" customHeight="1">
      <c r="A121" s="159">
        <v>0</v>
      </c>
      <c r="B121" s="160"/>
      <c r="C121" s="274"/>
      <c r="D121" s="274"/>
      <c r="E121" s="275"/>
      <c r="F121" s="265" t="s">
        <v>410</v>
      </c>
      <c r="G121" s="160"/>
      <c r="H121" s="276"/>
      <c r="I121" s="276"/>
      <c r="J121" s="276"/>
      <c r="K121" s="276"/>
      <c r="L121" s="157">
        <v>35000</v>
      </c>
      <c r="M121" s="250"/>
      <c r="N121" s="277"/>
      <c r="O121" s="100">
        <f t="shared" si="1"/>
        <v>0</v>
      </c>
      <c r="P121" s="101"/>
      <c r="Q121" s="278"/>
      <c r="R121" s="279"/>
    </row>
    <row r="122" spans="1:18" ht="18" customHeight="1">
      <c r="A122" s="159">
        <v>0</v>
      </c>
      <c r="B122" s="160"/>
      <c r="C122" s="274"/>
      <c r="D122" s="274"/>
      <c r="E122" s="275"/>
      <c r="F122" s="265" t="s">
        <v>210</v>
      </c>
      <c r="G122" s="160"/>
      <c r="H122" s="276"/>
      <c r="I122" s="276"/>
      <c r="J122" s="276"/>
      <c r="K122" s="276"/>
      <c r="L122" s="157">
        <v>16200</v>
      </c>
      <c r="M122" s="250"/>
      <c r="N122" s="277"/>
      <c r="O122" s="100">
        <f t="shared" si="1"/>
        <v>0</v>
      </c>
      <c r="P122" s="101"/>
      <c r="Q122" s="278"/>
      <c r="R122" s="279"/>
    </row>
    <row r="123" spans="1:18" ht="18" customHeight="1">
      <c r="A123" s="159">
        <v>0</v>
      </c>
      <c r="B123" s="160"/>
      <c r="C123" s="274"/>
      <c r="D123" s="274"/>
      <c r="E123" s="275"/>
      <c r="F123" s="265" t="s">
        <v>399</v>
      </c>
      <c r="G123" s="160"/>
      <c r="H123" s="276"/>
      <c r="I123" s="276"/>
      <c r="J123" s="276"/>
      <c r="K123" s="276"/>
      <c r="L123" s="157">
        <v>12000</v>
      </c>
      <c r="M123" s="250"/>
      <c r="N123" s="277"/>
      <c r="O123" s="100">
        <f t="shared" si="1"/>
        <v>0</v>
      </c>
      <c r="P123" s="101"/>
      <c r="Q123" s="278"/>
      <c r="R123" s="279"/>
    </row>
    <row r="124" spans="1:18" ht="18" customHeight="1">
      <c r="A124" s="159">
        <v>0</v>
      </c>
      <c r="B124" s="160"/>
      <c r="C124" s="274"/>
      <c r="D124" s="274"/>
      <c r="E124" s="275"/>
      <c r="F124" s="265" t="s">
        <v>580</v>
      </c>
      <c r="G124" s="160"/>
      <c r="H124" s="276"/>
      <c r="I124" s="276"/>
      <c r="J124" s="276"/>
      <c r="K124" s="276"/>
      <c r="L124" s="157">
        <v>8000</v>
      </c>
      <c r="M124" s="250"/>
      <c r="N124" s="277"/>
      <c r="O124" s="100">
        <f t="shared" si="1"/>
        <v>0</v>
      </c>
      <c r="P124" s="101"/>
      <c r="Q124" s="278"/>
      <c r="R124" s="279"/>
    </row>
    <row r="125" spans="1:18" ht="18" customHeight="1">
      <c r="A125" s="159">
        <v>0</v>
      </c>
      <c r="B125" s="160"/>
      <c r="C125" s="274"/>
      <c r="D125" s="274"/>
      <c r="E125" s="275"/>
      <c r="F125" s="265" t="s">
        <v>398</v>
      </c>
      <c r="G125" s="160"/>
      <c r="H125" s="276"/>
      <c r="I125" s="276"/>
      <c r="J125" s="276"/>
      <c r="K125" s="276"/>
      <c r="L125" s="157">
        <v>7000</v>
      </c>
      <c r="M125" s="250"/>
      <c r="N125" s="277"/>
      <c r="O125" s="100">
        <f t="shared" si="1"/>
        <v>0</v>
      </c>
      <c r="P125" s="101"/>
      <c r="Q125" s="278"/>
      <c r="R125" s="279"/>
    </row>
    <row r="126" spans="1:18" ht="18" customHeight="1">
      <c r="A126" s="159">
        <v>0</v>
      </c>
      <c r="B126" s="160"/>
      <c r="C126" s="274"/>
      <c r="D126" s="274"/>
      <c r="E126" s="275"/>
      <c r="F126" s="265" t="s">
        <v>397</v>
      </c>
      <c r="G126" s="160"/>
      <c r="H126" s="276"/>
      <c r="I126" s="276"/>
      <c r="J126" s="276"/>
      <c r="K126" s="276"/>
      <c r="L126" s="157">
        <v>14000</v>
      </c>
      <c r="M126" s="250"/>
      <c r="N126" s="277"/>
      <c r="O126" s="100">
        <f t="shared" si="1"/>
        <v>0</v>
      </c>
      <c r="P126" s="101"/>
      <c r="Q126" s="278"/>
      <c r="R126" s="279"/>
    </row>
    <row r="127" spans="1:18" ht="18" customHeight="1">
      <c r="A127" s="159">
        <v>0</v>
      </c>
      <c r="B127" s="160"/>
      <c r="C127" s="274"/>
      <c r="D127" s="274"/>
      <c r="E127" s="275"/>
      <c r="F127" s="265" t="s">
        <v>205</v>
      </c>
      <c r="G127" s="160"/>
      <c r="H127" s="276"/>
      <c r="I127" s="276"/>
      <c r="J127" s="276"/>
      <c r="K127" s="276"/>
      <c r="L127" s="157">
        <v>24000</v>
      </c>
      <c r="M127" s="250"/>
      <c r="N127" s="277"/>
      <c r="O127" s="100">
        <f t="shared" si="1"/>
        <v>0</v>
      </c>
      <c r="P127" s="101"/>
      <c r="Q127" s="278"/>
      <c r="R127" s="279"/>
    </row>
    <row r="128" spans="1:18" ht="18" customHeight="1">
      <c r="A128" s="159">
        <v>0</v>
      </c>
      <c r="B128" s="160"/>
      <c r="C128" s="274"/>
      <c r="D128" s="274"/>
      <c r="E128" s="275"/>
      <c r="F128" s="265" t="s">
        <v>585</v>
      </c>
      <c r="G128" s="160"/>
      <c r="H128" s="276"/>
      <c r="I128" s="276"/>
      <c r="J128" s="276"/>
      <c r="K128" s="276"/>
      <c r="L128" s="157">
        <v>8000</v>
      </c>
      <c r="M128" s="250"/>
      <c r="N128" s="277"/>
      <c r="O128" s="100">
        <f t="shared" si="1"/>
        <v>0</v>
      </c>
      <c r="P128" s="101"/>
      <c r="Q128" s="278"/>
      <c r="R128" s="279"/>
    </row>
    <row r="129" spans="1:18" ht="18" customHeight="1">
      <c r="A129" s="159">
        <v>0</v>
      </c>
      <c r="B129" s="160"/>
      <c r="C129" s="274"/>
      <c r="D129" s="274"/>
      <c r="E129" s="275"/>
      <c r="F129" s="265" t="s">
        <v>587</v>
      </c>
      <c r="G129" s="160"/>
      <c r="H129" s="276"/>
      <c r="I129" s="276"/>
      <c r="J129" s="276"/>
      <c r="K129" s="276"/>
      <c r="L129" s="157">
        <v>24000</v>
      </c>
      <c r="M129" s="250"/>
      <c r="N129" s="277"/>
      <c r="O129" s="100">
        <f t="shared" si="1"/>
        <v>0</v>
      </c>
      <c r="P129" s="101"/>
      <c r="Q129" s="278"/>
      <c r="R129" s="279"/>
    </row>
    <row r="130" spans="1:18" ht="18" customHeight="1">
      <c r="A130" s="159">
        <v>0</v>
      </c>
      <c r="B130" s="160"/>
      <c r="C130" s="274"/>
      <c r="D130" s="274"/>
      <c r="E130" s="275"/>
      <c r="F130" s="265" t="s">
        <v>667</v>
      </c>
      <c r="G130" s="160"/>
      <c r="H130" s="276"/>
      <c r="I130" s="276"/>
      <c r="J130" s="276"/>
      <c r="K130" s="276"/>
      <c r="L130" s="157">
        <v>4500</v>
      </c>
      <c r="M130" s="250"/>
      <c r="N130" s="277"/>
      <c r="O130" s="100">
        <f t="shared" si="1"/>
        <v>0</v>
      </c>
      <c r="P130" s="101"/>
      <c r="Q130" s="278"/>
      <c r="R130" s="279"/>
    </row>
    <row r="131" spans="1:18" ht="18" customHeight="1">
      <c r="A131" s="159">
        <v>0</v>
      </c>
      <c r="B131" s="160"/>
      <c r="C131" s="274"/>
      <c r="D131" s="274"/>
      <c r="E131" s="275"/>
      <c r="F131" s="265" t="s">
        <v>395</v>
      </c>
      <c r="G131" s="160"/>
      <c r="H131" s="276"/>
      <c r="I131" s="276"/>
      <c r="J131" s="276"/>
      <c r="K131" s="276"/>
      <c r="L131" s="157">
        <v>15000</v>
      </c>
      <c r="M131" s="250"/>
      <c r="N131" s="277"/>
      <c r="O131" s="100">
        <f t="shared" si="1"/>
        <v>0</v>
      </c>
      <c r="P131" s="101"/>
      <c r="Q131" s="278"/>
      <c r="R131" s="279"/>
    </row>
    <row r="132" spans="1:18" ht="18" customHeight="1">
      <c r="A132" s="159">
        <v>0</v>
      </c>
      <c r="B132" s="160"/>
      <c r="C132" s="274"/>
      <c r="D132" s="274"/>
      <c r="E132" s="275"/>
      <c r="F132" s="265" t="s">
        <v>394</v>
      </c>
      <c r="G132" s="160"/>
      <c r="H132" s="276"/>
      <c r="I132" s="276"/>
      <c r="J132" s="276"/>
      <c r="K132" s="276"/>
      <c r="L132" s="157">
        <v>10000</v>
      </c>
      <c r="M132" s="250"/>
      <c r="N132" s="277"/>
      <c r="O132" s="100">
        <f t="shared" si="1"/>
        <v>0</v>
      </c>
      <c r="P132" s="101"/>
      <c r="Q132" s="278"/>
      <c r="R132" s="279"/>
    </row>
    <row r="133" spans="1:18" ht="18" customHeight="1">
      <c r="A133" s="159">
        <v>0</v>
      </c>
      <c r="B133" s="160"/>
      <c r="C133" s="274"/>
      <c r="D133" s="274"/>
      <c r="E133" s="275"/>
      <c r="F133" s="265" t="s">
        <v>199</v>
      </c>
      <c r="G133" s="160"/>
      <c r="H133" s="276"/>
      <c r="I133" s="276"/>
      <c r="J133" s="276"/>
      <c r="K133" s="276"/>
      <c r="L133" s="157">
        <v>36000</v>
      </c>
      <c r="M133" s="250"/>
      <c r="N133" s="277"/>
      <c r="O133" s="100">
        <f t="shared" si="1"/>
        <v>0</v>
      </c>
      <c r="P133" s="101"/>
      <c r="Q133" s="278"/>
      <c r="R133" s="279"/>
    </row>
    <row r="134" spans="1:18" ht="18" customHeight="1">
      <c r="A134" s="159">
        <v>0</v>
      </c>
      <c r="B134" s="160"/>
      <c r="C134" s="274"/>
      <c r="D134" s="274"/>
      <c r="E134" s="275"/>
      <c r="F134" s="265" t="s">
        <v>200</v>
      </c>
      <c r="G134" s="160"/>
      <c r="H134" s="276"/>
      <c r="I134" s="276"/>
      <c r="J134" s="276"/>
      <c r="K134" s="276"/>
      <c r="L134" s="157">
        <v>64000</v>
      </c>
      <c r="M134" s="250"/>
      <c r="N134" s="277"/>
      <c r="O134" s="100">
        <f t="shared" si="1"/>
        <v>0</v>
      </c>
      <c r="P134" s="101"/>
      <c r="Q134" s="278"/>
      <c r="R134" s="279"/>
    </row>
    <row r="135" spans="1:18" ht="18" customHeight="1">
      <c r="A135" s="159">
        <v>0</v>
      </c>
      <c r="B135" s="160"/>
      <c r="C135" s="274"/>
      <c r="D135" s="274"/>
      <c r="E135" s="275"/>
      <c r="F135" s="265" t="s">
        <v>708</v>
      </c>
      <c r="G135" s="160"/>
      <c r="H135" s="276"/>
      <c r="I135" s="276"/>
      <c r="J135" s="276"/>
      <c r="K135" s="276"/>
      <c r="L135" s="157">
        <v>2200</v>
      </c>
      <c r="M135" s="250"/>
      <c r="N135" s="277"/>
      <c r="O135" s="100">
        <f t="shared" si="1"/>
        <v>0</v>
      </c>
      <c r="P135" s="101"/>
      <c r="Q135" s="278"/>
      <c r="R135" s="279"/>
    </row>
    <row r="136" spans="1:18" ht="18" customHeight="1">
      <c r="A136" s="159">
        <v>0</v>
      </c>
      <c r="B136" s="160"/>
      <c r="C136" s="274"/>
      <c r="D136" s="274"/>
      <c r="E136" s="275"/>
      <c r="F136" s="265" t="s">
        <v>209</v>
      </c>
      <c r="G136" s="160"/>
      <c r="H136" s="276"/>
      <c r="I136" s="276"/>
      <c r="J136" s="276"/>
      <c r="K136" s="276"/>
      <c r="L136" s="157">
        <v>48000</v>
      </c>
      <c r="M136" s="250"/>
      <c r="N136" s="277"/>
      <c r="O136" s="100">
        <f t="shared" si="1"/>
        <v>0</v>
      </c>
      <c r="P136" s="101"/>
      <c r="Q136" s="278"/>
      <c r="R136" s="279"/>
    </row>
    <row r="137" spans="1:18" ht="18" customHeight="1">
      <c r="A137" s="159">
        <v>0</v>
      </c>
      <c r="B137" s="160"/>
      <c r="C137" s="274"/>
      <c r="D137" s="274"/>
      <c r="E137" s="275"/>
      <c r="F137" s="265" t="s">
        <v>573</v>
      </c>
      <c r="G137" s="160"/>
      <c r="H137" s="276"/>
      <c r="I137" s="276"/>
      <c r="J137" s="276"/>
      <c r="K137" s="276"/>
      <c r="L137" s="157">
        <v>60000</v>
      </c>
      <c r="M137" s="250"/>
      <c r="N137" s="277"/>
      <c r="O137" s="100">
        <f t="shared" si="1"/>
        <v>0</v>
      </c>
      <c r="P137" s="101"/>
      <c r="Q137" s="278"/>
      <c r="R137" s="279"/>
    </row>
    <row r="138" spans="1:18" ht="18" customHeight="1">
      <c r="A138" s="159">
        <v>0</v>
      </c>
      <c r="B138" s="160"/>
      <c r="C138" s="274"/>
      <c r="D138" s="274"/>
      <c r="E138" s="275"/>
      <c r="F138" s="265" t="s">
        <v>555</v>
      </c>
      <c r="G138" s="160"/>
      <c r="H138" s="276"/>
      <c r="I138" s="276"/>
      <c r="J138" s="276"/>
      <c r="K138" s="276"/>
      <c r="L138" s="157">
        <v>4800</v>
      </c>
      <c r="M138" s="250"/>
      <c r="N138" s="277"/>
      <c r="O138" s="100">
        <f t="shared" si="1"/>
        <v>0</v>
      </c>
      <c r="P138" s="101"/>
      <c r="Q138" s="278"/>
      <c r="R138" s="279"/>
    </row>
    <row r="139" spans="1:18" ht="18" customHeight="1">
      <c r="A139" s="159">
        <v>0</v>
      </c>
      <c r="B139" s="160"/>
      <c r="C139" s="274"/>
      <c r="D139" s="274"/>
      <c r="E139" s="275"/>
      <c r="F139" s="265" t="s">
        <v>206</v>
      </c>
      <c r="G139" s="160"/>
      <c r="H139" s="276"/>
      <c r="I139" s="276"/>
      <c r="J139" s="276"/>
      <c r="K139" s="276"/>
      <c r="L139" s="157">
        <v>3300</v>
      </c>
      <c r="M139" s="250"/>
      <c r="N139" s="277"/>
      <c r="O139" s="100">
        <f t="shared" si="1"/>
        <v>0</v>
      </c>
      <c r="P139" s="101"/>
      <c r="Q139" s="278"/>
      <c r="R139" s="279"/>
    </row>
    <row r="140" spans="1:18" ht="18" customHeight="1">
      <c r="A140" s="159">
        <v>0</v>
      </c>
      <c r="B140" s="160"/>
      <c r="C140" s="274"/>
      <c r="D140" s="274"/>
      <c r="E140" s="275"/>
      <c r="F140" s="265" t="s">
        <v>567</v>
      </c>
      <c r="G140" s="160"/>
      <c r="H140" s="276"/>
      <c r="I140" s="276"/>
      <c r="J140" s="276"/>
      <c r="K140" s="276"/>
      <c r="L140" s="157">
        <v>28000</v>
      </c>
      <c r="M140" s="250"/>
      <c r="N140" s="277"/>
      <c r="O140" s="100">
        <f t="shared" si="1"/>
        <v>0</v>
      </c>
      <c r="P140" s="101"/>
      <c r="Q140" s="278"/>
      <c r="R140" s="279"/>
    </row>
    <row r="141" spans="1:18" ht="18" customHeight="1">
      <c r="A141" s="159">
        <v>0</v>
      </c>
      <c r="B141" s="160"/>
      <c r="C141" s="274"/>
      <c r="D141" s="274"/>
      <c r="E141" s="275"/>
      <c r="F141" s="265" t="s">
        <v>579</v>
      </c>
      <c r="G141" s="160"/>
      <c r="H141" s="276"/>
      <c r="I141" s="276"/>
      <c r="J141" s="276"/>
      <c r="K141" s="276"/>
      <c r="L141" s="157">
        <v>2200</v>
      </c>
      <c r="M141" s="250"/>
      <c r="N141" s="277"/>
      <c r="O141" s="100">
        <f t="shared" si="1"/>
        <v>0</v>
      </c>
      <c r="P141" s="101"/>
      <c r="Q141" s="278"/>
      <c r="R141" s="279"/>
    </row>
    <row r="142" spans="1:18" ht="18" customHeight="1">
      <c r="A142" s="159">
        <v>0</v>
      </c>
      <c r="B142" s="160"/>
      <c r="C142" s="274"/>
      <c r="D142" s="274"/>
      <c r="E142" s="275"/>
      <c r="F142" s="265" t="s">
        <v>392</v>
      </c>
      <c r="G142" s="160"/>
      <c r="H142" s="276"/>
      <c r="I142" s="276"/>
      <c r="J142" s="276"/>
      <c r="K142" s="276"/>
      <c r="L142" s="157">
        <v>30000</v>
      </c>
      <c r="M142" s="250"/>
      <c r="N142" s="277"/>
      <c r="O142" s="100">
        <f t="shared" si="1"/>
        <v>0</v>
      </c>
      <c r="P142" s="101"/>
      <c r="Q142" s="278"/>
      <c r="R142" s="279"/>
    </row>
    <row r="143" spans="1:18" ht="18" customHeight="1">
      <c r="A143" s="159">
        <v>0</v>
      </c>
      <c r="B143" s="160"/>
      <c r="C143" s="274"/>
      <c r="D143" s="274"/>
      <c r="E143" s="275"/>
      <c r="F143" s="265" t="s">
        <v>75</v>
      </c>
      <c r="G143" s="160"/>
      <c r="H143" s="276"/>
      <c r="I143" s="276"/>
      <c r="J143" s="276"/>
      <c r="K143" s="276"/>
      <c r="L143" s="157">
        <v>76000</v>
      </c>
      <c r="M143" s="250"/>
      <c r="N143" s="277"/>
      <c r="O143" s="100">
        <f t="shared" si="1"/>
        <v>0</v>
      </c>
      <c r="P143" s="101"/>
      <c r="Q143" s="278"/>
      <c r="R143" s="279"/>
    </row>
    <row r="144" spans="1:18" ht="18" customHeight="1">
      <c r="A144" s="159">
        <v>0</v>
      </c>
      <c r="B144" s="160"/>
      <c r="C144" s="274"/>
      <c r="D144" s="274"/>
      <c r="E144" s="275"/>
      <c r="F144" s="265" t="s">
        <v>77</v>
      </c>
      <c r="G144" s="160"/>
      <c r="H144" s="276"/>
      <c r="I144" s="276"/>
      <c r="J144" s="276"/>
      <c r="K144" s="276"/>
      <c r="L144" s="157">
        <v>69000</v>
      </c>
      <c r="M144" s="250"/>
      <c r="N144" s="277"/>
      <c r="O144" s="100">
        <f t="shared" si="1"/>
        <v>0</v>
      </c>
      <c r="P144" s="101"/>
      <c r="Q144" s="278"/>
      <c r="R144" s="279"/>
    </row>
    <row r="145" spans="1:18" ht="18" customHeight="1">
      <c r="A145" s="159">
        <v>0</v>
      </c>
      <c r="B145" s="160"/>
      <c r="C145" s="274"/>
      <c r="D145" s="274"/>
      <c r="E145" s="275"/>
      <c r="F145" s="265" t="s">
        <v>76</v>
      </c>
      <c r="G145" s="160"/>
      <c r="H145" s="276"/>
      <c r="I145" s="276"/>
      <c r="J145" s="276"/>
      <c r="K145" s="276"/>
      <c r="L145" s="157">
        <v>2400</v>
      </c>
      <c r="M145" s="250"/>
      <c r="N145" s="277"/>
      <c r="O145" s="100">
        <f t="shared" si="1"/>
        <v>0</v>
      </c>
      <c r="P145" s="101"/>
      <c r="Q145" s="278"/>
      <c r="R145" s="279"/>
    </row>
    <row r="146" spans="1:18" ht="18" customHeight="1">
      <c r="A146" s="159">
        <v>0</v>
      </c>
      <c r="B146" s="160"/>
      <c r="C146" s="274"/>
      <c r="D146" s="274"/>
      <c r="E146" s="275"/>
      <c r="F146" s="265" t="s">
        <v>217</v>
      </c>
      <c r="G146" s="160"/>
      <c r="H146" s="276"/>
      <c r="I146" s="276"/>
      <c r="J146" s="276"/>
      <c r="K146" s="276"/>
      <c r="L146" s="157">
        <v>6000</v>
      </c>
      <c r="M146" s="250"/>
      <c r="N146" s="277"/>
      <c r="O146" s="100">
        <f t="shared" si="1"/>
        <v>0</v>
      </c>
      <c r="P146" s="101"/>
      <c r="Q146" s="278"/>
      <c r="R146" s="279"/>
    </row>
    <row r="147" spans="1:18" ht="18" customHeight="1">
      <c r="A147" s="159">
        <v>0</v>
      </c>
      <c r="B147" s="160"/>
      <c r="C147" s="274"/>
      <c r="D147" s="274"/>
      <c r="E147" s="275"/>
      <c r="F147" s="265" t="s">
        <v>219</v>
      </c>
      <c r="G147" s="160"/>
      <c r="H147" s="276"/>
      <c r="I147" s="276"/>
      <c r="J147" s="276"/>
      <c r="K147" s="276"/>
      <c r="L147" s="157">
        <v>700</v>
      </c>
      <c r="M147" s="250"/>
      <c r="N147" s="277"/>
      <c r="O147" s="100">
        <f t="shared" si="1"/>
        <v>0</v>
      </c>
      <c r="P147" s="101"/>
      <c r="Q147" s="278"/>
      <c r="R147" s="279"/>
    </row>
    <row r="148" spans="1:18" ht="18" customHeight="1">
      <c r="A148" s="159">
        <v>0</v>
      </c>
      <c r="B148" s="160"/>
      <c r="C148" s="274"/>
      <c r="D148" s="274"/>
      <c r="E148" s="275"/>
      <c r="F148" s="265" t="s">
        <v>701</v>
      </c>
      <c r="G148" s="160"/>
      <c r="H148" s="276"/>
      <c r="I148" s="276"/>
      <c r="J148" s="276"/>
      <c r="K148" s="276"/>
      <c r="L148" s="157">
        <v>15000</v>
      </c>
      <c r="M148" s="250"/>
      <c r="N148" s="277"/>
      <c r="O148" s="100">
        <f t="shared" si="1"/>
        <v>0</v>
      </c>
      <c r="P148" s="101"/>
      <c r="Q148" s="278"/>
      <c r="R148" s="279"/>
    </row>
    <row r="149" spans="1:18" ht="18" customHeight="1">
      <c r="A149" s="159">
        <v>0</v>
      </c>
      <c r="B149" s="160"/>
      <c r="C149" s="274"/>
      <c r="D149" s="274"/>
      <c r="E149" s="275"/>
      <c r="F149" s="265" t="s">
        <v>554</v>
      </c>
      <c r="G149" s="160"/>
      <c r="H149" s="276"/>
      <c r="I149" s="276"/>
      <c r="J149" s="276"/>
      <c r="K149" s="276"/>
      <c r="L149" s="157">
        <v>2400</v>
      </c>
      <c r="M149" s="250"/>
      <c r="N149" s="277"/>
      <c r="O149" s="100">
        <f t="shared" si="1"/>
        <v>0</v>
      </c>
      <c r="P149" s="101"/>
      <c r="Q149" s="278"/>
      <c r="R149" s="279"/>
    </row>
    <row r="150" spans="1:18" ht="18" customHeight="1">
      <c r="A150" s="159">
        <v>0</v>
      </c>
      <c r="B150" s="160"/>
      <c r="C150" s="274"/>
      <c r="D150" s="274"/>
      <c r="E150" s="275"/>
      <c r="F150" s="265" t="s">
        <v>411</v>
      </c>
      <c r="G150" s="160"/>
      <c r="H150" s="276"/>
      <c r="I150" s="276"/>
      <c r="J150" s="276"/>
      <c r="K150" s="276"/>
      <c r="L150" s="157">
        <v>12000</v>
      </c>
      <c r="M150" s="250"/>
      <c r="N150" s="277"/>
      <c r="O150" s="100">
        <f t="shared" si="1"/>
        <v>0</v>
      </c>
      <c r="P150" s="101"/>
      <c r="Q150" s="278"/>
      <c r="R150" s="279"/>
    </row>
    <row r="151" spans="1:18" ht="18" customHeight="1">
      <c r="A151" s="159">
        <v>0</v>
      </c>
      <c r="B151" s="160"/>
      <c r="C151" s="274"/>
      <c r="D151" s="274"/>
      <c r="E151" s="275"/>
      <c r="F151" s="265" t="s">
        <v>408</v>
      </c>
      <c r="G151" s="160"/>
      <c r="H151" s="276"/>
      <c r="I151" s="276"/>
      <c r="J151" s="276"/>
      <c r="K151" s="276"/>
      <c r="L151" s="157">
        <v>25000</v>
      </c>
      <c r="M151" s="250"/>
      <c r="N151" s="277"/>
      <c r="O151" s="100">
        <f t="shared" si="1"/>
        <v>0</v>
      </c>
      <c r="P151" s="101"/>
      <c r="Q151" s="278"/>
      <c r="R151" s="279"/>
    </row>
    <row r="152" spans="1:18" ht="18" customHeight="1">
      <c r="A152" s="159">
        <v>0</v>
      </c>
      <c r="B152" s="160"/>
      <c r="C152" s="274"/>
      <c r="D152" s="274"/>
      <c r="E152" s="275"/>
      <c r="F152" s="265" t="s">
        <v>402</v>
      </c>
      <c r="G152" s="160"/>
      <c r="H152" s="276"/>
      <c r="I152" s="276"/>
      <c r="J152" s="276"/>
      <c r="K152" s="276"/>
      <c r="L152" s="157">
        <v>24000</v>
      </c>
      <c r="M152" s="250"/>
      <c r="N152" s="277"/>
      <c r="O152" s="100">
        <f t="shared" si="1"/>
        <v>0</v>
      </c>
      <c r="P152" s="101"/>
      <c r="Q152" s="278"/>
      <c r="R152" s="279"/>
    </row>
    <row r="153" spans="1:18" ht="18" customHeight="1">
      <c r="A153" s="159">
        <v>0</v>
      </c>
      <c r="B153" s="160"/>
      <c r="C153" s="274"/>
      <c r="D153" s="274"/>
      <c r="E153" s="275"/>
      <c r="F153" s="265" t="s">
        <v>733</v>
      </c>
      <c r="G153" s="160"/>
      <c r="H153" s="276"/>
      <c r="I153" s="276"/>
      <c r="J153" s="276"/>
      <c r="K153" s="276"/>
      <c r="L153" s="157">
        <v>12000</v>
      </c>
      <c r="M153" s="250"/>
      <c r="N153" s="277"/>
      <c r="O153" s="100">
        <f t="shared" si="1"/>
        <v>0</v>
      </c>
      <c r="P153" s="101"/>
      <c r="Q153" s="278"/>
      <c r="R153" s="279"/>
    </row>
    <row r="154" spans="1:18" ht="18" customHeight="1">
      <c r="A154" s="159">
        <v>0</v>
      </c>
      <c r="B154" s="160"/>
      <c r="C154" s="274"/>
      <c r="D154" s="274"/>
      <c r="E154" s="275"/>
      <c r="F154" s="265" t="s">
        <v>565</v>
      </c>
      <c r="G154" s="160"/>
      <c r="H154" s="276"/>
      <c r="I154" s="276"/>
      <c r="J154" s="276"/>
      <c r="K154" s="276"/>
      <c r="L154" s="157">
        <v>3500</v>
      </c>
      <c r="M154" s="250"/>
      <c r="N154" s="277"/>
      <c r="O154" s="100">
        <f t="shared" si="1"/>
        <v>0</v>
      </c>
      <c r="P154" s="101"/>
      <c r="Q154" s="278"/>
      <c r="R154" s="279"/>
    </row>
    <row r="155" spans="1:18" ht="18" customHeight="1">
      <c r="A155" s="159">
        <v>0</v>
      </c>
      <c r="B155" s="160"/>
      <c r="C155" s="274"/>
      <c r="D155" s="274"/>
      <c r="E155" s="275"/>
      <c r="F155" s="265" t="s">
        <v>569</v>
      </c>
      <c r="G155" s="160"/>
      <c r="H155" s="276"/>
      <c r="I155" s="276"/>
      <c r="J155" s="276"/>
      <c r="K155" s="276"/>
      <c r="L155" s="157">
        <v>30000</v>
      </c>
      <c r="M155" s="250"/>
      <c r="N155" s="277"/>
      <c r="O155" s="100">
        <f t="shared" si="1"/>
        <v>0</v>
      </c>
      <c r="P155" s="101"/>
      <c r="Q155" s="278"/>
      <c r="R155" s="279"/>
    </row>
    <row r="156" spans="1:18" ht="18" customHeight="1">
      <c r="A156" s="159">
        <v>0</v>
      </c>
      <c r="B156" s="160"/>
      <c r="C156" s="274"/>
      <c r="D156" s="274"/>
      <c r="E156" s="275"/>
      <c r="F156" s="265" t="s">
        <v>216</v>
      </c>
      <c r="G156" s="160"/>
      <c r="H156" s="276"/>
      <c r="I156" s="276"/>
      <c r="J156" s="276"/>
      <c r="K156" s="276"/>
      <c r="L156" s="157">
        <v>24000</v>
      </c>
      <c r="M156" s="250"/>
      <c r="N156" s="277"/>
      <c r="O156" s="100">
        <f t="shared" si="1"/>
        <v>0</v>
      </c>
      <c r="P156" s="101"/>
      <c r="Q156" s="278"/>
      <c r="R156" s="279"/>
    </row>
    <row r="157" spans="1:18" ht="18" customHeight="1">
      <c r="A157" s="159">
        <v>0</v>
      </c>
      <c r="B157" s="160"/>
      <c r="C157" s="274"/>
      <c r="D157" s="274"/>
      <c r="E157" s="275"/>
      <c r="F157" s="265" t="s">
        <v>214</v>
      </c>
      <c r="G157" s="160"/>
      <c r="H157" s="276"/>
      <c r="I157" s="276"/>
      <c r="J157" s="276"/>
      <c r="K157" s="276"/>
      <c r="L157" s="157">
        <v>8500</v>
      </c>
      <c r="M157" s="250"/>
      <c r="N157" s="277"/>
      <c r="O157" s="100">
        <f t="shared" si="1"/>
        <v>0</v>
      </c>
      <c r="P157" s="101"/>
      <c r="Q157" s="278"/>
      <c r="R157" s="279"/>
    </row>
    <row r="158" spans="1:18" ht="18" customHeight="1">
      <c r="A158" s="159">
        <v>0</v>
      </c>
      <c r="B158" s="160"/>
      <c r="C158" s="274"/>
      <c r="D158" s="274"/>
      <c r="E158" s="275"/>
      <c r="F158" s="265" t="s">
        <v>404</v>
      </c>
      <c r="G158" s="160"/>
      <c r="H158" s="276"/>
      <c r="I158" s="276"/>
      <c r="J158" s="276"/>
      <c r="K158" s="276"/>
      <c r="L158" s="157">
        <v>8000</v>
      </c>
      <c r="M158" s="250"/>
      <c r="N158" s="277"/>
      <c r="O158" s="100">
        <f t="shared" si="1"/>
        <v>0</v>
      </c>
      <c r="P158" s="101"/>
      <c r="Q158" s="278"/>
      <c r="R158" s="279"/>
    </row>
    <row r="159" spans="1:18" ht="18" customHeight="1">
      <c r="A159" s="159">
        <v>0</v>
      </c>
      <c r="B159" s="160"/>
      <c r="C159" s="274"/>
      <c r="D159" s="274"/>
      <c r="E159" s="275"/>
      <c r="F159" s="265" t="s">
        <v>570</v>
      </c>
      <c r="G159" s="160"/>
      <c r="H159" s="276"/>
      <c r="I159" s="276"/>
      <c r="J159" s="276"/>
      <c r="K159" s="276"/>
      <c r="L159" s="157">
        <v>7000</v>
      </c>
      <c r="M159" s="250"/>
      <c r="N159" s="277"/>
      <c r="O159" s="100">
        <f t="shared" si="1"/>
        <v>0</v>
      </c>
      <c r="P159" s="101"/>
      <c r="Q159" s="278"/>
      <c r="R159" s="279"/>
    </row>
    <row r="160" spans="1:18" ht="18" customHeight="1">
      <c r="A160" s="159">
        <v>0</v>
      </c>
      <c r="B160" s="160"/>
      <c r="C160" s="274"/>
      <c r="D160" s="274"/>
      <c r="E160" s="275"/>
      <c r="F160" s="265" t="s">
        <v>208</v>
      </c>
      <c r="G160" s="160"/>
      <c r="H160" s="276"/>
      <c r="I160" s="276"/>
      <c r="J160" s="276"/>
      <c r="K160" s="276"/>
      <c r="L160" s="157">
        <v>18000</v>
      </c>
      <c r="M160" s="250"/>
      <c r="N160" s="277"/>
      <c r="O160" s="100">
        <f t="shared" si="1"/>
        <v>0</v>
      </c>
      <c r="P160" s="101"/>
      <c r="Q160" s="278"/>
      <c r="R160" s="279"/>
    </row>
    <row r="161" spans="1:18" ht="18" customHeight="1">
      <c r="A161" s="159">
        <v>0</v>
      </c>
      <c r="B161" s="160"/>
      <c r="C161" s="274"/>
      <c r="D161" s="274"/>
      <c r="E161" s="275"/>
      <c r="F161" s="265" t="s">
        <v>566</v>
      </c>
      <c r="G161" s="160"/>
      <c r="H161" s="276"/>
      <c r="I161" s="276"/>
      <c r="J161" s="276"/>
      <c r="K161" s="276"/>
      <c r="L161" s="157">
        <v>7000</v>
      </c>
      <c r="M161" s="250"/>
      <c r="N161" s="277"/>
      <c r="O161" s="100">
        <f t="shared" si="1"/>
        <v>0</v>
      </c>
      <c r="P161" s="101"/>
      <c r="Q161" s="278"/>
      <c r="R161" s="279"/>
    </row>
    <row r="162" spans="1:18" ht="18" customHeight="1">
      <c r="A162" s="159">
        <v>0</v>
      </c>
      <c r="B162" s="160"/>
      <c r="C162" s="274"/>
      <c r="D162" s="274"/>
      <c r="E162" s="275"/>
      <c r="F162" s="265" t="s">
        <v>581</v>
      </c>
      <c r="G162" s="160"/>
      <c r="H162" s="276"/>
      <c r="I162" s="276"/>
      <c r="J162" s="276"/>
      <c r="K162" s="276"/>
      <c r="L162" s="157">
        <v>8000</v>
      </c>
      <c r="M162" s="250"/>
      <c r="N162" s="277"/>
      <c r="O162" s="100">
        <f t="shared" si="1"/>
        <v>0</v>
      </c>
      <c r="P162" s="101"/>
      <c r="Q162" s="278"/>
      <c r="R162" s="279"/>
    </row>
    <row r="163" spans="1:18" ht="18" customHeight="1">
      <c r="A163" s="159">
        <v>0</v>
      </c>
      <c r="B163" s="160"/>
      <c r="C163" s="274"/>
      <c r="D163" s="274"/>
      <c r="E163" s="275"/>
      <c r="F163" s="265" t="s">
        <v>551</v>
      </c>
      <c r="G163" s="160"/>
      <c r="H163" s="276"/>
      <c r="I163" s="276"/>
      <c r="J163" s="276"/>
      <c r="K163" s="276"/>
      <c r="L163" s="157">
        <v>21000</v>
      </c>
      <c r="M163" s="250"/>
      <c r="N163" s="277"/>
      <c r="O163" s="100">
        <f t="shared" si="1"/>
        <v>0</v>
      </c>
      <c r="P163" s="101"/>
      <c r="Q163" s="278"/>
      <c r="R163" s="279"/>
    </row>
    <row r="164" spans="1:18" ht="18" customHeight="1">
      <c r="A164" s="159">
        <v>0</v>
      </c>
      <c r="B164" s="160"/>
      <c r="C164" s="274"/>
      <c r="D164" s="274"/>
      <c r="E164" s="275"/>
      <c r="F164" s="265" t="s">
        <v>707</v>
      </c>
      <c r="G164" s="160"/>
      <c r="H164" s="276"/>
      <c r="I164" s="276"/>
      <c r="J164" s="276"/>
      <c r="K164" s="276"/>
      <c r="L164" s="157">
        <v>8000</v>
      </c>
      <c r="M164" s="250"/>
      <c r="N164" s="277"/>
      <c r="O164" s="100">
        <f t="shared" si="1"/>
        <v>0</v>
      </c>
      <c r="P164" s="101"/>
      <c r="Q164" s="278"/>
      <c r="R164" s="279"/>
    </row>
    <row r="165" spans="1:18" ht="18" customHeight="1">
      <c r="A165" s="159">
        <v>0</v>
      </c>
      <c r="B165" s="160"/>
      <c r="C165" s="274"/>
      <c r="D165" s="274"/>
      <c r="E165" s="275"/>
      <c r="F165" s="265" t="s">
        <v>582</v>
      </c>
      <c r="G165" s="160"/>
      <c r="H165" s="276"/>
      <c r="I165" s="276"/>
      <c r="J165" s="276"/>
      <c r="K165" s="276"/>
      <c r="L165" s="157">
        <v>4000</v>
      </c>
      <c r="M165" s="250"/>
      <c r="N165" s="277"/>
      <c r="O165" s="100">
        <f t="shared" si="1"/>
        <v>0</v>
      </c>
      <c r="P165" s="101"/>
      <c r="Q165" s="278"/>
      <c r="R165" s="279"/>
    </row>
    <row r="166" spans="1:18" ht="18" customHeight="1">
      <c r="A166" s="159">
        <v>0</v>
      </c>
      <c r="B166" s="160"/>
      <c r="C166" s="274"/>
      <c r="D166" s="274"/>
      <c r="E166" s="275"/>
      <c r="F166" s="265" t="s">
        <v>409</v>
      </c>
      <c r="G166" s="160"/>
      <c r="H166" s="276"/>
      <c r="I166" s="276"/>
      <c r="J166" s="276"/>
      <c r="K166" s="276"/>
      <c r="L166" s="157">
        <v>7000</v>
      </c>
      <c r="M166" s="250"/>
      <c r="N166" s="277"/>
      <c r="O166" s="100">
        <f t="shared" si="1"/>
        <v>0</v>
      </c>
      <c r="P166" s="101"/>
      <c r="Q166" s="278"/>
      <c r="R166" s="279"/>
    </row>
    <row r="167" spans="1:18" ht="18" customHeight="1">
      <c r="A167" s="159">
        <v>0</v>
      </c>
      <c r="B167" s="160"/>
      <c r="C167" s="274"/>
      <c r="D167" s="274"/>
      <c r="E167" s="275"/>
      <c r="F167" s="265" t="s">
        <v>218</v>
      </c>
      <c r="G167" s="160"/>
      <c r="H167" s="276"/>
      <c r="I167" s="276"/>
      <c r="J167" s="276"/>
      <c r="K167" s="276"/>
      <c r="L167" s="157">
        <v>6000</v>
      </c>
      <c r="M167" s="250"/>
      <c r="N167" s="277"/>
      <c r="O167" s="100">
        <f t="shared" si="1"/>
        <v>0</v>
      </c>
      <c r="P167" s="101"/>
      <c r="Q167" s="278"/>
      <c r="R167" s="279"/>
    </row>
    <row r="168" spans="1:18" ht="18" customHeight="1">
      <c r="A168" s="159">
        <v>0</v>
      </c>
      <c r="B168" s="160"/>
      <c r="C168" s="274"/>
      <c r="D168" s="274"/>
      <c r="E168" s="275"/>
      <c r="F168" s="265" t="s">
        <v>412</v>
      </c>
      <c r="G168" s="160"/>
      <c r="H168" s="276"/>
      <c r="I168" s="276"/>
      <c r="J168" s="276"/>
      <c r="K168" s="276"/>
      <c r="L168" s="157">
        <v>8000</v>
      </c>
      <c r="M168" s="250"/>
      <c r="N168" s="277"/>
      <c r="O168" s="100">
        <f t="shared" si="1"/>
        <v>0</v>
      </c>
      <c r="P168" s="101"/>
      <c r="Q168" s="278"/>
      <c r="R168" s="279"/>
    </row>
    <row r="169" spans="1:18" ht="18" customHeight="1">
      <c r="A169" s="159">
        <v>0</v>
      </c>
      <c r="B169" s="160"/>
      <c r="C169" s="274"/>
      <c r="D169" s="274"/>
      <c r="E169" s="275"/>
      <c r="F169" s="265" t="s">
        <v>564</v>
      </c>
      <c r="G169" s="160"/>
      <c r="H169" s="276"/>
      <c r="I169" s="276"/>
      <c r="J169" s="276"/>
      <c r="K169" s="276"/>
      <c r="L169" s="157">
        <v>3000</v>
      </c>
      <c r="M169" s="250"/>
      <c r="N169" s="277"/>
      <c r="O169" s="100">
        <f t="shared" si="1"/>
        <v>0</v>
      </c>
      <c r="P169" s="101"/>
      <c r="Q169" s="278"/>
      <c r="R169" s="279"/>
    </row>
    <row r="170" spans="1:18" ht="18" customHeight="1">
      <c r="A170" s="159">
        <v>0</v>
      </c>
      <c r="B170" s="160"/>
      <c r="C170" s="274"/>
      <c r="D170" s="274"/>
      <c r="E170" s="275"/>
      <c r="F170" s="265" t="s">
        <v>562</v>
      </c>
      <c r="G170" s="160"/>
      <c r="H170" s="276"/>
      <c r="I170" s="276"/>
      <c r="J170" s="276"/>
      <c r="K170" s="276"/>
      <c r="L170" s="157">
        <v>3000</v>
      </c>
      <c r="M170" s="250"/>
      <c r="N170" s="277"/>
      <c r="O170" s="100">
        <f t="shared" si="1"/>
        <v>0</v>
      </c>
      <c r="P170" s="101"/>
      <c r="Q170" s="278"/>
      <c r="R170" s="279"/>
    </row>
    <row r="171" spans="1:18" ht="18" customHeight="1">
      <c r="A171" s="159">
        <v>0</v>
      </c>
      <c r="B171" s="160"/>
      <c r="C171" s="274"/>
      <c r="D171" s="274"/>
      <c r="E171" s="275"/>
      <c r="F171" s="265" t="s">
        <v>702</v>
      </c>
      <c r="G171" s="160"/>
      <c r="H171" s="276"/>
      <c r="I171" s="276"/>
      <c r="J171" s="276"/>
      <c r="K171" s="276"/>
      <c r="L171" s="157">
        <v>2000</v>
      </c>
      <c r="M171" s="250"/>
      <c r="N171" s="277"/>
      <c r="O171" s="100">
        <f t="shared" si="1"/>
        <v>0</v>
      </c>
      <c r="P171" s="101"/>
      <c r="Q171" s="278"/>
      <c r="R171" s="279"/>
    </row>
    <row r="172" spans="1:18" ht="18" customHeight="1">
      <c r="A172" s="159">
        <v>0</v>
      </c>
      <c r="B172" s="160"/>
      <c r="C172" s="274"/>
      <c r="D172" s="274"/>
      <c r="E172" s="275"/>
      <c r="F172" s="265" t="s">
        <v>574</v>
      </c>
      <c r="G172" s="160"/>
      <c r="H172" s="276"/>
      <c r="I172" s="276"/>
      <c r="J172" s="276"/>
      <c r="K172" s="276"/>
      <c r="L172" s="157">
        <v>6000</v>
      </c>
      <c r="M172" s="250"/>
      <c r="N172" s="277"/>
      <c r="O172" s="100">
        <f t="shared" si="1"/>
        <v>0</v>
      </c>
      <c r="P172" s="101"/>
      <c r="Q172" s="278"/>
      <c r="R172" s="279"/>
    </row>
    <row r="173" spans="1:18" ht="18" customHeight="1">
      <c r="A173" s="159">
        <v>0</v>
      </c>
      <c r="B173" s="160"/>
      <c r="C173" s="274"/>
      <c r="D173" s="274"/>
      <c r="E173" s="275"/>
      <c r="F173" s="265" t="s">
        <v>576</v>
      </c>
      <c r="G173" s="160"/>
      <c r="H173" s="276"/>
      <c r="I173" s="276"/>
      <c r="J173" s="276"/>
      <c r="K173" s="276"/>
      <c r="L173" s="157">
        <v>10000</v>
      </c>
      <c r="M173" s="250"/>
      <c r="N173" s="277"/>
      <c r="O173" s="100">
        <f t="shared" si="1"/>
        <v>0</v>
      </c>
      <c r="P173" s="101"/>
      <c r="Q173" s="278"/>
      <c r="R173" s="279"/>
    </row>
    <row r="174" spans="1:18" ht="18" customHeight="1">
      <c r="A174" s="159">
        <v>0</v>
      </c>
      <c r="B174" s="160"/>
      <c r="C174" s="274"/>
      <c r="D174" s="274"/>
      <c r="E174" s="275"/>
      <c r="F174" s="265" t="s">
        <v>401</v>
      </c>
      <c r="G174" s="160"/>
      <c r="H174" s="276"/>
      <c r="I174" s="276"/>
      <c r="J174" s="276"/>
      <c r="K174" s="276"/>
      <c r="L174" s="157">
        <v>42000</v>
      </c>
      <c r="M174" s="250"/>
      <c r="N174" s="277"/>
      <c r="O174" s="100">
        <f t="shared" si="1"/>
        <v>0</v>
      </c>
      <c r="P174" s="101"/>
      <c r="Q174" s="278"/>
      <c r="R174" s="279"/>
    </row>
    <row r="175" spans="1:18" ht="18" customHeight="1">
      <c r="A175" s="159">
        <v>0</v>
      </c>
      <c r="B175" s="160"/>
      <c r="C175" s="274"/>
      <c r="D175" s="274"/>
      <c r="E175" s="275"/>
      <c r="F175" s="265" t="s">
        <v>400</v>
      </c>
      <c r="G175" s="160"/>
      <c r="H175" s="276"/>
      <c r="I175" s="276"/>
      <c r="J175" s="276"/>
      <c r="K175" s="276"/>
      <c r="L175" s="157">
        <v>60000</v>
      </c>
      <c r="M175" s="250"/>
      <c r="N175" s="277"/>
      <c r="O175" s="100">
        <f t="shared" si="1"/>
        <v>0</v>
      </c>
      <c r="P175" s="101"/>
      <c r="Q175" s="278"/>
      <c r="R175" s="279"/>
    </row>
    <row r="176" spans="1:18" ht="18" customHeight="1">
      <c r="A176" s="159">
        <v>0</v>
      </c>
      <c r="B176" s="160"/>
      <c r="C176" s="274"/>
      <c r="D176" s="274"/>
      <c r="E176" s="275"/>
      <c r="F176" s="265" t="s">
        <v>406</v>
      </c>
      <c r="G176" s="160"/>
      <c r="H176" s="276"/>
      <c r="I176" s="276"/>
      <c r="J176" s="276"/>
      <c r="K176" s="276"/>
      <c r="L176" s="157">
        <v>130000</v>
      </c>
      <c r="M176" s="250"/>
      <c r="N176" s="277"/>
      <c r="O176" s="100">
        <f t="shared" si="1"/>
        <v>0</v>
      </c>
      <c r="P176" s="101"/>
      <c r="Q176" s="278"/>
      <c r="R176" s="279"/>
    </row>
    <row r="177" spans="1:18" ht="18" customHeight="1">
      <c r="A177" s="159">
        <v>0</v>
      </c>
      <c r="B177" s="160"/>
      <c r="C177" s="274"/>
      <c r="D177" s="274"/>
      <c r="E177" s="275"/>
      <c r="F177" s="265" t="s">
        <v>405</v>
      </c>
      <c r="G177" s="160"/>
      <c r="H177" s="276"/>
      <c r="I177" s="276"/>
      <c r="J177" s="276"/>
      <c r="K177" s="276"/>
      <c r="L177" s="157">
        <v>50000</v>
      </c>
      <c r="M177" s="250"/>
      <c r="N177" s="277"/>
      <c r="O177" s="100">
        <f t="shared" si="1"/>
        <v>0</v>
      </c>
      <c r="P177" s="101"/>
      <c r="Q177" s="278"/>
      <c r="R177" s="279"/>
    </row>
    <row r="178" spans="1:18" ht="18" customHeight="1">
      <c r="A178" s="159">
        <v>0</v>
      </c>
      <c r="B178" s="160"/>
      <c r="C178" s="274"/>
      <c r="D178" s="274"/>
      <c r="E178" s="275"/>
      <c r="F178" s="265" t="s">
        <v>727</v>
      </c>
      <c r="G178" s="160"/>
      <c r="H178" s="276"/>
      <c r="I178" s="276"/>
      <c r="J178" s="276"/>
      <c r="K178" s="276"/>
      <c r="L178" s="157">
        <v>35000</v>
      </c>
      <c r="M178" s="250"/>
      <c r="N178" s="277"/>
      <c r="O178" s="100">
        <f t="shared" si="1"/>
        <v>0</v>
      </c>
      <c r="P178" s="101"/>
      <c r="Q178" s="278"/>
      <c r="R178" s="279"/>
    </row>
    <row r="179" spans="1:18" ht="18" customHeight="1">
      <c r="A179" s="159">
        <v>0</v>
      </c>
      <c r="B179" s="160"/>
      <c r="C179" s="274"/>
      <c r="D179" s="274"/>
      <c r="E179" s="275"/>
      <c r="F179" s="265" t="s">
        <v>407</v>
      </c>
      <c r="G179" s="160"/>
      <c r="H179" s="276"/>
      <c r="I179" s="276"/>
      <c r="J179" s="276"/>
      <c r="K179" s="276"/>
      <c r="L179" s="157">
        <v>8000</v>
      </c>
      <c r="M179" s="250"/>
      <c r="N179" s="277"/>
      <c r="O179" s="100">
        <f t="shared" si="1"/>
        <v>0</v>
      </c>
      <c r="P179" s="101"/>
      <c r="Q179" s="278"/>
      <c r="R179" s="279"/>
    </row>
    <row r="180" spans="1:18" ht="18" customHeight="1">
      <c r="A180" s="159">
        <v>0</v>
      </c>
      <c r="B180" s="160"/>
      <c r="C180" s="274"/>
      <c r="D180" s="274"/>
      <c r="E180" s="275"/>
      <c r="F180" s="265" t="s">
        <v>723</v>
      </c>
      <c r="G180" s="160"/>
      <c r="H180" s="276"/>
      <c r="I180" s="276"/>
      <c r="J180" s="276"/>
      <c r="K180" s="276"/>
      <c r="L180" s="157">
        <v>70000</v>
      </c>
      <c r="M180" s="250"/>
      <c r="N180" s="277"/>
      <c r="O180" s="100">
        <f t="shared" si="1"/>
        <v>0</v>
      </c>
      <c r="P180" s="101"/>
      <c r="Q180" s="278"/>
      <c r="R180" s="279"/>
    </row>
    <row r="181" spans="1:18" ht="18" customHeight="1">
      <c r="A181" s="159">
        <v>0</v>
      </c>
      <c r="B181" s="160"/>
      <c r="C181" s="274"/>
      <c r="D181" s="274"/>
      <c r="E181" s="275"/>
      <c r="F181" s="265" t="s">
        <v>213</v>
      </c>
      <c r="G181" s="160"/>
      <c r="H181" s="276"/>
      <c r="I181" s="276"/>
      <c r="J181" s="276"/>
      <c r="K181" s="276"/>
      <c r="L181" s="157">
        <v>48000</v>
      </c>
      <c r="M181" s="250"/>
      <c r="N181" s="277"/>
      <c r="O181" s="100">
        <f t="shared" si="1"/>
        <v>0</v>
      </c>
      <c r="P181" s="101"/>
      <c r="Q181" s="278"/>
      <c r="R181" s="279"/>
    </row>
    <row r="182" spans="1:18" ht="18" customHeight="1">
      <c r="A182" s="159">
        <v>0</v>
      </c>
      <c r="B182" s="160"/>
      <c r="C182" s="274"/>
      <c r="D182" s="274"/>
      <c r="E182" s="275"/>
      <c r="F182" s="265" t="s">
        <v>720</v>
      </c>
      <c r="G182" s="160"/>
      <c r="H182" s="276"/>
      <c r="I182" s="276"/>
      <c r="J182" s="276"/>
      <c r="K182" s="276"/>
      <c r="L182" s="157">
        <v>20000</v>
      </c>
      <c r="M182" s="250"/>
      <c r="N182" s="277"/>
      <c r="O182" s="100">
        <f t="shared" si="1"/>
        <v>0</v>
      </c>
      <c r="P182" s="101"/>
      <c r="Q182" s="278"/>
      <c r="R182" s="279"/>
    </row>
    <row r="183" spans="1:18" ht="18" customHeight="1">
      <c r="A183" s="159">
        <v>0</v>
      </c>
      <c r="B183" s="160"/>
      <c r="C183" s="274"/>
      <c r="D183" s="274"/>
      <c r="E183" s="275"/>
      <c r="F183" s="265" t="s">
        <v>403</v>
      </c>
      <c r="G183" s="160"/>
      <c r="H183" s="276"/>
      <c r="I183" s="276"/>
      <c r="J183" s="276"/>
      <c r="K183" s="276"/>
      <c r="L183" s="157">
        <v>8000</v>
      </c>
      <c r="M183" s="250"/>
      <c r="N183" s="277"/>
      <c r="O183" s="100">
        <f t="shared" si="1"/>
        <v>0</v>
      </c>
      <c r="P183" s="101"/>
      <c r="Q183" s="278"/>
      <c r="R183" s="279"/>
    </row>
    <row r="184" spans="1:18" ht="18" customHeight="1">
      <c r="A184" s="159">
        <v>0</v>
      </c>
      <c r="B184" s="160"/>
      <c r="C184" s="274"/>
      <c r="D184" s="274"/>
      <c r="E184" s="275"/>
      <c r="F184" s="265" t="s">
        <v>212</v>
      </c>
      <c r="G184" s="160"/>
      <c r="H184" s="276"/>
      <c r="I184" s="276"/>
      <c r="J184" s="276"/>
      <c r="K184" s="276"/>
      <c r="L184" s="157">
        <v>24500</v>
      </c>
      <c r="M184" s="250"/>
      <c r="N184" s="277"/>
      <c r="O184" s="100">
        <f t="shared" si="1"/>
        <v>0</v>
      </c>
      <c r="P184" s="101"/>
      <c r="Q184" s="278"/>
      <c r="R184" s="279"/>
    </row>
    <row r="185" spans="1:18" ht="18" customHeight="1">
      <c r="A185" s="159">
        <v>0</v>
      </c>
      <c r="B185" s="160"/>
      <c r="C185" s="274"/>
      <c r="D185" s="274"/>
      <c r="E185" s="275"/>
      <c r="F185" s="265" t="s">
        <v>568</v>
      </c>
      <c r="G185" s="160"/>
      <c r="H185" s="276"/>
      <c r="I185" s="276"/>
      <c r="J185" s="276"/>
      <c r="K185" s="276"/>
      <c r="L185" s="157">
        <v>21000</v>
      </c>
      <c r="M185" s="250"/>
      <c r="N185" s="277"/>
      <c r="O185" s="100">
        <f t="shared" si="1"/>
        <v>0</v>
      </c>
      <c r="P185" s="101"/>
      <c r="Q185" s="278"/>
      <c r="R185" s="279"/>
    </row>
    <row r="186" spans="1:18" ht="18" customHeight="1">
      <c r="A186" s="159">
        <v>0</v>
      </c>
      <c r="B186" s="160"/>
      <c r="C186" s="274"/>
      <c r="D186" s="274"/>
      <c r="E186" s="275"/>
      <c r="F186" s="265" t="s">
        <v>215</v>
      </c>
      <c r="G186" s="160"/>
      <c r="H186" s="276"/>
      <c r="I186" s="276"/>
      <c r="J186" s="276"/>
      <c r="K186" s="276"/>
      <c r="L186" s="157">
        <v>50000</v>
      </c>
      <c r="M186" s="250"/>
      <c r="N186" s="277"/>
      <c r="O186" s="100">
        <f t="shared" si="1"/>
        <v>0</v>
      </c>
      <c r="P186" s="101"/>
      <c r="Q186" s="278"/>
      <c r="R186" s="279"/>
    </row>
    <row r="187" spans="1:18" ht="18" customHeight="1">
      <c r="A187" s="159">
        <v>0</v>
      </c>
      <c r="B187" s="160"/>
      <c r="C187" s="274"/>
      <c r="D187" s="274"/>
      <c r="E187" s="275"/>
      <c r="F187" s="265" t="s">
        <v>706</v>
      </c>
      <c r="G187" s="160"/>
      <c r="H187" s="276"/>
      <c r="I187" s="276"/>
      <c r="J187" s="276"/>
      <c r="K187" s="276"/>
      <c r="L187" s="157">
        <v>780</v>
      </c>
      <c r="M187" s="250"/>
      <c r="N187" s="277"/>
      <c r="O187" s="100">
        <f t="shared" si="1"/>
        <v>0</v>
      </c>
      <c r="P187" s="101"/>
      <c r="Q187" s="278"/>
      <c r="R187" s="279"/>
    </row>
    <row r="188" spans="1:18" ht="18" customHeight="1">
      <c r="A188" s="159">
        <v>0</v>
      </c>
      <c r="B188" s="160"/>
      <c r="C188" s="274"/>
      <c r="D188" s="274"/>
      <c r="E188" s="275"/>
      <c r="F188" s="265" t="s">
        <v>643</v>
      </c>
      <c r="G188" s="160"/>
      <c r="H188" s="276"/>
      <c r="I188" s="276"/>
      <c r="J188" s="276"/>
      <c r="K188" s="276"/>
      <c r="L188" s="157">
        <v>8000</v>
      </c>
      <c r="M188" s="250"/>
      <c r="N188" s="277"/>
      <c r="O188" s="100">
        <f t="shared" si="1"/>
        <v>0</v>
      </c>
      <c r="P188" s="101"/>
      <c r="Q188" s="278"/>
      <c r="R188" s="279"/>
    </row>
    <row r="189" spans="1:18" ht="18" customHeight="1">
      <c r="A189" s="159">
        <v>0</v>
      </c>
      <c r="B189" s="160"/>
      <c r="C189" s="274"/>
      <c r="D189" s="274"/>
      <c r="E189" s="275"/>
      <c r="F189" s="265" t="s">
        <v>222</v>
      </c>
      <c r="G189" s="160"/>
      <c r="H189" s="276"/>
      <c r="I189" s="276"/>
      <c r="J189" s="276"/>
      <c r="K189" s="276"/>
      <c r="L189" s="157">
        <v>750</v>
      </c>
      <c r="M189" s="250"/>
      <c r="N189" s="277"/>
      <c r="O189" s="100">
        <f t="shared" si="1"/>
        <v>0</v>
      </c>
      <c r="P189" s="101"/>
      <c r="Q189" s="278"/>
      <c r="R189" s="279"/>
    </row>
    <row r="190" spans="1:18" ht="18" customHeight="1">
      <c r="A190" s="159">
        <v>0</v>
      </c>
      <c r="B190" s="160"/>
      <c r="C190" s="274"/>
      <c r="D190" s="274"/>
      <c r="E190" s="275"/>
      <c r="F190" s="265" t="s">
        <v>669</v>
      </c>
      <c r="G190" s="160"/>
      <c r="H190" s="276"/>
      <c r="I190" s="276"/>
      <c r="J190" s="276"/>
      <c r="K190" s="276"/>
      <c r="L190" s="157">
        <v>200000</v>
      </c>
      <c r="M190" s="250"/>
      <c r="N190" s="277"/>
      <c r="O190" s="100">
        <f t="shared" si="1"/>
        <v>0</v>
      </c>
      <c r="P190" s="101"/>
      <c r="Q190" s="278"/>
      <c r="R190" s="279"/>
    </row>
    <row r="191" spans="1:18" ht="18" customHeight="1">
      <c r="A191" s="159">
        <v>0</v>
      </c>
      <c r="B191" s="160"/>
      <c r="C191" s="274"/>
      <c r="D191" s="274"/>
      <c r="E191" s="275"/>
      <c r="F191" s="265" t="s">
        <v>223</v>
      </c>
      <c r="G191" s="160"/>
      <c r="H191" s="276"/>
      <c r="I191" s="276"/>
      <c r="J191" s="276"/>
      <c r="K191" s="276"/>
      <c r="L191" s="157">
        <v>4000</v>
      </c>
      <c r="M191" s="250"/>
      <c r="N191" s="277"/>
      <c r="O191" s="100">
        <f t="shared" si="1"/>
        <v>0</v>
      </c>
      <c r="P191" s="101"/>
      <c r="Q191" s="278"/>
      <c r="R191" s="279"/>
    </row>
    <row r="192" spans="1:18" ht="18" customHeight="1">
      <c r="A192" s="159">
        <v>0</v>
      </c>
      <c r="B192" s="160"/>
      <c r="C192" s="274"/>
      <c r="D192" s="274"/>
      <c r="E192" s="275"/>
      <c r="F192" s="265" t="s">
        <v>557</v>
      </c>
      <c r="G192" s="160"/>
      <c r="H192" s="276"/>
      <c r="I192" s="276"/>
      <c r="J192" s="276"/>
      <c r="K192" s="276"/>
      <c r="L192" s="157">
        <v>24000</v>
      </c>
      <c r="M192" s="250"/>
      <c r="N192" s="277"/>
      <c r="O192" s="100">
        <f t="shared" si="1"/>
        <v>0</v>
      </c>
      <c r="P192" s="101"/>
      <c r="Q192" s="278"/>
      <c r="R192" s="279"/>
    </row>
    <row r="193" spans="1:18" ht="18" customHeight="1">
      <c r="A193" s="159">
        <v>0</v>
      </c>
      <c r="B193" s="160"/>
      <c r="C193" s="274"/>
      <c r="D193" s="274"/>
      <c r="E193" s="275"/>
      <c r="F193" s="265" t="s">
        <v>560</v>
      </c>
      <c r="G193" s="160"/>
      <c r="H193" s="276"/>
      <c r="I193" s="276"/>
      <c r="J193" s="276"/>
      <c r="K193" s="276"/>
      <c r="L193" s="157">
        <v>11000</v>
      </c>
      <c r="M193" s="250"/>
      <c r="N193" s="277"/>
      <c r="O193" s="100">
        <f t="shared" si="1"/>
        <v>0</v>
      </c>
      <c r="P193" s="101"/>
      <c r="Q193" s="278"/>
      <c r="R193" s="279"/>
    </row>
    <row r="194" spans="1:18" ht="18" customHeight="1">
      <c r="A194" s="159">
        <v>0</v>
      </c>
      <c r="B194" s="160"/>
      <c r="C194" s="274"/>
      <c r="D194" s="274"/>
      <c r="E194" s="275"/>
      <c r="F194" s="265" t="s">
        <v>348</v>
      </c>
      <c r="G194" s="160"/>
      <c r="H194" s="276"/>
      <c r="I194" s="276"/>
      <c r="J194" s="276"/>
      <c r="K194" s="276"/>
      <c r="L194" s="157">
        <v>2000</v>
      </c>
      <c r="M194" s="250"/>
      <c r="N194" s="277"/>
      <c r="O194" s="100">
        <f t="shared" si="1"/>
        <v>0</v>
      </c>
      <c r="P194" s="101"/>
      <c r="Q194" s="278"/>
      <c r="R194" s="279"/>
    </row>
    <row r="195" spans="1:18" ht="18" customHeight="1">
      <c r="A195" s="159">
        <v>0</v>
      </c>
      <c r="B195" s="160"/>
      <c r="C195" s="274"/>
      <c r="D195" s="274"/>
      <c r="E195" s="275"/>
      <c r="F195" s="265" t="s">
        <v>332</v>
      </c>
      <c r="G195" s="160"/>
      <c r="H195" s="276"/>
      <c r="I195" s="276"/>
      <c r="J195" s="276"/>
      <c r="K195" s="276"/>
      <c r="L195" s="157">
        <v>16000</v>
      </c>
      <c r="M195" s="250"/>
      <c r="N195" s="277"/>
      <c r="O195" s="100">
        <f t="shared" si="1"/>
        <v>0</v>
      </c>
      <c r="P195" s="101"/>
      <c r="Q195" s="278"/>
      <c r="R195" s="279"/>
    </row>
    <row r="196" spans="1:18" ht="18" customHeight="1">
      <c r="A196" s="159">
        <v>0</v>
      </c>
      <c r="B196" s="160"/>
      <c r="C196" s="274"/>
      <c r="D196" s="274"/>
      <c r="E196" s="275"/>
      <c r="F196" s="265" t="s">
        <v>333</v>
      </c>
      <c r="G196" s="160"/>
      <c r="H196" s="276"/>
      <c r="I196" s="276"/>
      <c r="J196" s="276"/>
      <c r="K196" s="276"/>
      <c r="L196" s="157">
        <v>2000</v>
      </c>
      <c r="M196" s="250"/>
      <c r="N196" s="277"/>
      <c r="O196" s="100">
        <f t="shared" si="1"/>
        <v>0</v>
      </c>
      <c r="P196" s="101"/>
      <c r="Q196" s="278"/>
      <c r="R196" s="279"/>
    </row>
    <row r="197" spans="1:18" ht="18" customHeight="1">
      <c r="A197" s="159">
        <v>0</v>
      </c>
      <c r="B197" s="160"/>
      <c r="C197" s="274"/>
      <c r="D197" s="274"/>
      <c r="E197" s="275"/>
      <c r="F197" s="265" t="s">
        <v>347</v>
      </c>
      <c r="G197" s="160"/>
      <c r="H197" s="276"/>
      <c r="I197" s="276"/>
      <c r="J197" s="276"/>
      <c r="K197" s="276"/>
      <c r="L197" s="157">
        <v>1000</v>
      </c>
      <c r="M197" s="250"/>
      <c r="N197" s="277"/>
      <c r="O197" s="100">
        <f t="shared" si="1"/>
        <v>0</v>
      </c>
      <c r="P197" s="101"/>
      <c r="Q197" s="278"/>
      <c r="R197" s="279"/>
    </row>
    <row r="198" spans="1:18" ht="18" customHeight="1">
      <c r="A198" s="159">
        <v>0</v>
      </c>
      <c r="B198" s="160"/>
      <c r="C198" s="274"/>
      <c r="D198" s="274"/>
      <c r="E198" s="275"/>
      <c r="F198" s="265" t="s">
        <v>644</v>
      </c>
      <c r="G198" s="160"/>
      <c r="H198" s="276"/>
      <c r="I198" s="276"/>
      <c r="J198" s="276"/>
      <c r="K198" s="276"/>
      <c r="L198" s="157">
        <v>13800</v>
      </c>
      <c r="M198" s="250"/>
      <c r="N198" s="277"/>
      <c r="O198" s="100">
        <f t="shared" si="1"/>
        <v>0</v>
      </c>
      <c r="P198" s="101"/>
      <c r="Q198" s="278"/>
      <c r="R198" s="279"/>
    </row>
    <row r="199" spans="1:18" ht="18" customHeight="1">
      <c r="A199" s="159">
        <v>0</v>
      </c>
      <c r="B199" s="160"/>
      <c r="C199" s="274"/>
      <c r="D199" s="274"/>
      <c r="E199" s="275"/>
      <c r="F199" s="265" t="s">
        <v>583</v>
      </c>
      <c r="G199" s="160"/>
      <c r="H199" s="276"/>
      <c r="I199" s="276"/>
      <c r="J199" s="276"/>
      <c r="K199" s="276"/>
      <c r="L199" s="157">
        <v>14000</v>
      </c>
      <c r="M199" s="250"/>
      <c r="N199" s="277"/>
      <c r="O199" s="100">
        <f t="shared" si="1"/>
        <v>0</v>
      </c>
      <c r="P199" s="101"/>
      <c r="Q199" s="278"/>
      <c r="R199" s="279"/>
    </row>
    <row r="200" spans="1:18" ht="18" customHeight="1">
      <c r="A200" s="159">
        <v>0</v>
      </c>
      <c r="B200" s="160"/>
      <c r="C200" s="274"/>
      <c r="D200" s="274"/>
      <c r="E200" s="275"/>
      <c r="F200" s="265" t="s">
        <v>563</v>
      </c>
      <c r="G200" s="160"/>
      <c r="H200" s="276"/>
      <c r="I200" s="276"/>
      <c r="J200" s="276"/>
      <c r="K200" s="276"/>
      <c r="L200" s="157">
        <v>8000</v>
      </c>
      <c r="M200" s="250"/>
      <c r="N200" s="277"/>
      <c r="O200" s="100">
        <f t="shared" si="1"/>
        <v>0</v>
      </c>
      <c r="P200" s="101"/>
      <c r="Q200" s="278"/>
      <c r="R200" s="279"/>
    </row>
    <row r="201" spans="1:18" ht="18" customHeight="1">
      <c r="A201" s="159">
        <v>0</v>
      </c>
      <c r="B201" s="160"/>
      <c r="C201" s="274"/>
      <c r="D201" s="274"/>
      <c r="E201" s="275"/>
      <c r="F201" s="265" t="s">
        <v>550</v>
      </c>
      <c r="G201" s="160"/>
      <c r="H201" s="276"/>
      <c r="I201" s="276"/>
      <c r="J201" s="276"/>
      <c r="K201" s="276"/>
      <c r="L201" s="157">
        <v>7000</v>
      </c>
      <c r="M201" s="250"/>
      <c r="N201" s="277"/>
      <c r="O201" s="100">
        <f t="shared" si="1"/>
        <v>0</v>
      </c>
      <c r="P201" s="101"/>
      <c r="Q201" s="278"/>
      <c r="R201" s="279"/>
    </row>
    <row r="202" spans="1:18" ht="18" customHeight="1">
      <c r="A202" s="159">
        <v>0</v>
      </c>
      <c r="B202" s="160"/>
      <c r="C202" s="274"/>
      <c r="D202" s="274"/>
      <c r="E202" s="275"/>
      <c r="F202" s="265" t="s">
        <v>552</v>
      </c>
      <c r="G202" s="160"/>
      <c r="H202" s="276"/>
      <c r="I202" s="276"/>
      <c r="J202" s="276"/>
      <c r="K202" s="276"/>
      <c r="L202" s="157">
        <v>64000</v>
      </c>
      <c r="M202" s="250"/>
      <c r="N202" s="277"/>
      <c r="O202" s="100">
        <f t="shared" si="1"/>
        <v>0</v>
      </c>
      <c r="P202" s="101"/>
      <c r="Q202" s="278"/>
      <c r="R202" s="279"/>
    </row>
    <row r="203" spans="1:18" ht="18" customHeight="1">
      <c r="A203" s="159">
        <v>0</v>
      </c>
      <c r="B203" s="160"/>
      <c r="C203" s="274"/>
      <c r="D203" s="274"/>
      <c r="E203" s="275"/>
      <c r="F203" s="265" t="s">
        <v>220</v>
      </c>
      <c r="G203" s="160"/>
      <c r="H203" s="276"/>
      <c r="I203" s="276"/>
      <c r="J203" s="276"/>
      <c r="K203" s="276"/>
      <c r="L203" s="157">
        <v>6000</v>
      </c>
      <c r="M203" s="250"/>
      <c r="N203" s="277"/>
      <c r="O203" s="100">
        <f t="shared" si="1"/>
        <v>0</v>
      </c>
      <c r="P203" s="101"/>
      <c r="Q203" s="278"/>
      <c r="R203" s="279"/>
    </row>
    <row r="204" spans="1:18" ht="18" customHeight="1">
      <c r="A204" s="159">
        <v>0</v>
      </c>
      <c r="B204" s="160"/>
      <c r="C204" s="274"/>
      <c r="D204" s="274"/>
      <c r="E204" s="275"/>
      <c r="F204" s="265" t="s">
        <v>703</v>
      </c>
      <c r="G204" s="160"/>
      <c r="H204" s="276"/>
      <c r="I204" s="276"/>
      <c r="J204" s="276"/>
      <c r="K204" s="276"/>
      <c r="L204" s="157">
        <v>3000</v>
      </c>
      <c r="M204" s="250"/>
      <c r="N204" s="277"/>
      <c r="O204" s="100">
        <f t="shared" si="1"/>
        <v>0</v>
      </c>
      <c r="P204" s="101"/>
      <c r="Q204" s="278"/>
      <c r="R204" s="279"/>
    </row>
    <row r="205" spans="1:18" ht="18" customHeight="1">
      <c r="A205" s="159">
        <v>0</v>
      </c>
      <c r="B205" s="160"/>
      <c r="C205" s="274"/>
      <c r="D205" s="274"/>
      <c r="E205" s="275"/>
      <c r="F205" s="265" t="s">
        <v>704</v>
      </c>
      <c r="G205" s="160"/>
      <c r="H205" s="276"/>
      <c r="I205" s="276"/>
      <c r="J205" s="276"/>
      <c r="K205" s="276"/>
      <c r="L205" s="157">
        <v>9000</v>
      </c>
      <c r="M205" s="250"/>
      <c r="N205" s="277"/>
      <c r="O205" s="100">
        <f t="shared" si="1"/>
        <v>0</v>
      </c>
      <c r="P205" s="101"/>
      <c r="Q205" s="278"/>
      <c r="R205" s="279"/>
    </row>
    <row r="206" spans="1:18" ht="18" customHeight="1">
      <c r="A206" s="159">
        <v>0</v>
      </c>
      <c r="B206" s="160"/>
      <c r="C206" s="274"/>
      <c r="D206" s="274"/>
      <c r="E206" s="275"/>
      <c r="F206" s="265" t="s">
        <v>652</v>
      </c>
      <c r="G206" s="160"/>
      <c r="H206" s="276"/>
      <c r="I206" s="276"/>
      <c r="J206" s="276"/>
      <c r="K206" s="276"/>
      <c r="L206" s="157">
        <v>2000</v>
      </c>
      <c r="M206" s="250"/>
      <c r="N206" s="277"/>
      <c r="O206" s="100">
        <f t="shared" si="1"/>
        <v>0</v>
      </c>
      <c r="P206" s="101"/>
      <c r="Q206" s="278"/>
      <c r="R206" s="279"/>
    </row>
    <row r="207" spans="1:18" ht="18" customHeight="1">
      <c r="A207" s="159">
        <v>0</v>
      </c>
      <c r="B207" s="160"/>
      <c r="C207" s="274"/>
      <c r="D207" s="274"/>
      <c r="E207" s="275"/>
      <c r="F207" s="265" t="s">
        <v>225</v>
      </c>
      <c r="G207" s="160"/>
      <c r="H207" s="276"/>
      <c r="I207" s="276"/>
      <c r="J207" s="276"/>
      <c r="K207" s="276"/>
      <c r="L207" s="157">
        <v>24000</v>
      </c>
      <c r="M207" s="250"/>
      <c r="N207" s="277"/>
      <c r="O207" s="100">
        <f t="shared" si="1"/>
        <v>0</v>
      </c>
      <c r="P207" s="101"/>
      <c r="Q207" s="278"/>
      <c r="R207" s="279"/>
    </row>
    <row r="208" spans="1:18" ht="18" customHeight="1">
      <c r="A208" s="159">
        <v>0</v>
      </c>
      <c r="B208" s="160"/>
      <c r="C208" s="274"/>
      <c r="D208" s="274"/>
      <c r="E208" s="275"/>
      <c r="F208" s="265" t="s">
        <v>621</v>
      </c>
      <c r="G208" s="160"/>
      <c r="H208" s="276"/>
      <c r="I208" s="276"/>
      <c r="J208" s="276"/>
      <c r="K208" s="276"/>
      <c r="L208" s="157">
        <v>1279</v>
      </c>
      <c r="M208" s="250"/>
      <c r="N208" s="277"/>
      <c r="O208" s="100">
        <f t="shared" si="1"/>
        <v>0</v>
      </c>
      <c r="P208" s="101"/>
      <c r="Q208" s="278"/>
      <c r="R208" s="279"/>
    </row>
    <row r="209" spans="1:18" ht="18" customHeight="1">
      <c r="A209" s="159">
        <v>0</v>
      </c>
      <c r="B209" s="160"/>
      <c r="C209" s="274"/>
      <c r="D209" s="274"/>
      <c r="E209" s="275"/>
      <c r="F209" s="265" t="s">
        <v>684</v>
      </c>
      <c r="G209" s="160"/>
      <c r="H209" s="276"/>
      <c r="I209" s="276"/>
      <c r="J209" s="276"/>
      <c r="K209" s="276"/>
      <c r="L209" s="157">
        <v>500</v>
      </c>
      <c r="M209" s="250"/>
      <c r="N209" s="277"/>
      <c r="O209" s="100">
        <f t="shared" si="1"/>
        <v>0</v>
      </c>
      <c r="P209" s="101"/>
      <c r="Q209" s="278"/>
      <c r="R209" s="279"/>
    </row>
    <row r="210" spans="1:18" ht="18" customHeight="1">
      <c r="A210" s="159">
        <v>0</v>
      </c>
      <c r="B210" s="160"/>
      <c r="C210" s="274"/>
      <c r="D210" s="274"/>
      <c r="E210" s="275"/>
      <c r="F210" s="265" t="s">
        <v>728</v>
      </c>
      <c r="G210" s="160"/>
      <c r="H210" s="276"/>
      <c r="I210" s="276"/>
      <c r="J210" s="276"/>
      <c r="K210" s="276"/>
      <c r="L210" s="157">
        <v>55</v>
      </c>
      <c r="M210" s="250"/>
      <c r="N210" s="277"/>
      <c r="O210" s="100">
        <f t="shared" si="1"/>
        <v>0</v>
      </c>
      <c r="P210" s="101"/>
      <c r="Q210" s="278"/>
      <c r="R210" s="279"/>
    </row>
    <row r="211" spans="1:18" ht="18" customHeight="1">
      <c r="A211" s="159">
        <v>0</v>
      </c>
      <c r="B211" s="160"/>
      <c r="C211" s="274"/>
      <c r="D211" s="274"/>
      <c r="E211" s="275"/>
      <c r="F211" s="265" t="s">
        <v>646</v>
      </c>
      <c r="G211" s="160"/>
      <c r="H211" s="276"/>
      <c r="I211" s="276"/>
      <c r="J211" s="276"/>
      <c r="K211" s="276"/>
      <c r="L211" s="157">
        <v>337</v>
      </c>
      <c r="M211" s="250"/>
      <c r="N211" s="277"/>
      <c r="O211" s="100">
        <f t="shared" si="1"/>
        <v>0</v>
      </c>
      <c r="P211" s="101"/>
      <c r="Q211" s="278"/>
      <c r="R211" s="279"/>
    </row>
    <row r="212" spans="1:18" ht="18" customHeight="1">
      <c r="A212" s="159">
        <v>0</v>
      </c>
      <c r="B212" s="160"/>
      <c r="C212" s="274"/>
      <c r="D212" s="274"/>
      <c r="E212" s="275"/>
      <c r="F212" s="265">
        <v>1928404669</v>
      </c>
      <c r="G212" s="160"/>
      <c r="H212" s="276"/>
      <c r="I212" s="276"/>
      <c r="J212" s="276"/>
      <c r="K212" s="276"/>
      <c r="L212" s="157">
        <v>1500</v>
      </c>
      <c r="M212" s="250"/>
      <c r="N212" s="277"/>
      <c r="O212" s="100">
        <f t="shared" si="1"/>
        <v>0</v>
      </c>
      <c r="P212" s="101"/>
      <c r="Q212" s="278"/>
      <c r="R212" s="279"/>
    </row>
    <row r="213" spans="1:18" ht="18" customHeight="1">
      <c r="A213" s="159">
        <v>0</v>
      </c>
      <c r="B213" s="160"/>
      <c r="C213" s="274"/>
      <c r="D213" s="274"/>
      <c r="E213" s="275"/>
      <c r="F213" s="265" t="s">
        <v>366</v>
      </c>
      <c r="G213" s="160"/>
      <c r="H213" s="276"/>
      <c r="I213" s="276"/>
      <c r="J213" s="276"/>
      <c r="K213" s="276"/>
      <c r="L213" s="157">
        <v>3640</v>
      </c>
      <c r="M213" s="250"/>
      <c r="N213" s="277"/>
      <c r="O213" s="100">
        <f t="shared" si="1"/>
        <v>0</v>
      </c>
      <c r="P213" s="101"/>
      <c r="Q213" s="278"/>
      <c r="R213" s="279"/>
    </row>
    <row r="214" spans="1:18" ht="18" customHeight="1">
      <c r="A214" s="159">
        <v>0</v>
      </c>
      <c r="B214" s="160"/>
      <c r="C214" s="274"/>
      <c r="D214" s="274"/>
      <c r="E214" s="275"/>
      <c r="F214" s="265" t="s">
        <v>155</v>
      </c>
      <c r="G214" s="160"/>
      <c r="H214" s="276"/>
      <c r="I214" s="276"/>
      <c r="J214" s="276"/>
      <c r="K214" s="276"/>
      <c r="L214" s="157">
        <v>13000</v>
      </c>
      <c r="M214" s="250"/>
      <c r="N214" s="277"/>
      <c r="O214" s="100">
        <f t="shared" si="1"/>
        <v>0</v>
      </c>
      <c r="P214" s="101"/>
      <c r="Q214" s="278"/>
      <c r="R214" s="279"/>
    </row>
    <row r="215" spans="1:18" ht="18" customHeight="1">
      <c r="A215" s="159">
        <v>0</v>
      </c>
      <c r="B215" s="160"/>
      <c r="C215" s="274"/>
      <c r="D215" s="274"/>
      <c r="E215" s="275"/>
      <c r="F215" s="265" t="s">
        <v>159</v>
      </c>
      <c r="G215" s="160"/>
      <c r="H215" s="276"/>
      <c r="I215" s="276"/>
      <c r="J215" s="276"/>
      <c r="K215" s="276"/>
      <c r="L215" s="157">
        <v>4000</v>
      </c>
      <c r="M215" s="250"/>
      <c r="N215" s="277"/>
      <c r="O215" s="100">
        <f t="shared" si="1"/>
        <v>0</v>
      </c>
      <c r="P215" s="101"/>
      <c r="Q215" s="278"/>
      <c r="R215" s="279"/>
    </row>
    <row r="216" spans="1:18" ht="18" customHeight="1">
      <c r="A216" s="159">
        <v>0</v>
      </c>
      <c r="B216" s="160"/>
      <c r="C216" s="274"/>
      <c r="D216" s="274"/>
      <c r="E216" s="275"/>
      <c r="F216" s="265" t="s">
        <v>593</v>
      </c>
      <c r="G216" s="160"/>
      <c r="H216" s="276"/>
      <c r="I216" s="276"/>
      <c r="J216" s="276"/>
      <c r="K216" s="276"/>
      <c r="L216" s="157">
        <v>2560</v>
      </c>
      <c r="M216" s="250"/>
      <c r="N216" s="277"/>
      <c r="O216" s="100">
        <f t="shared" si="1"/>
        <v>0</v>
      </c>
      <c r="P216" s="101"/>
      <c r="Q216" s="278"/>
      <c r="R216" s="279"/>
    </row>
    <row r="217" spans="1:18" ht="18" customHeight="1">
      <c r="A217" s="159">
        <v>0</v>
      </c>
      <c r="B217" s="160"/>
      <c r="C217" s="274"/>
      <c r="D217" s="274"/>
      <c r="E217" s="275"/>
      <c r="F217" s="265" t="s">
        <v>67</v>
      </c>
      <c r="G217" s="160"/>
      <c r="H217" s="276"/>
      <c r="I217" s="276"/>
      <c r="J217" s="276"/>
      <c r="K217" s="276"/>
      <c r="L217" s="157">
        <v>1000</v>
      </c>
      <c r="M217" s="250"/>
      <c r="N217" s="277"/>
      <c r="O217" s="100">
        <f t="shared" si="1"/>
        <v>0</v>
      </c>
      <c r="P217" s="101"/>
      <c r="Q217" s="278"/>
      <c r="R217" s="279"/>
    </row>
    <row r="218" spans="1:18" ht="18" customHeight="1">
      <c r="A218" s="159">
        <v>0</v>
      </c>
      <c r="B218" s="160"/>
      <c r="C218" s="274"/>
      <c r="D218" s="274"/>
      <c r="E218" s="275"/>
      <c r="F218" s="265" t="s">
        <v>157</v>
      </c>
      <c r="G218" s="160"/>
      <c r="H218" s="276"/>
      <c r="I218" s="276"/>
      <c r="J218" s="276"/>
      <c r="K218" s="276"/>
      <c r="L218" s="157">
        <v>4000</v>
      </c>
      <c r="M218" s="250"/>
      <c r="N218" s="277"/>
      <c r="O218" s="100">
        <f t="shared" si="1"/>
        <v>0</v>
      </c>
      <c r="P218" s="101"/>
      <c r="Q218" s="278"/>
      <c r="R218" s="279"/>
    </row>
    <row r="219" spans="1:18" ht="18" customHeight="1">
      <c r="A219" s="159">
        <v>0</v>
      </c>
      <c r="B219" s="160"/>
      <c r="C219" s="274"/>
      <c r="D219" s="274"/>
      <c r="E219" s="275"/>
      <c r="F219" s="265" t="s">
        <v>95</v>
      </c>
      <c r="G219" s="160"/>
      <c r="H219" s="276"/>
      <c r="I219" s="276"/>
      <c r="J219" s="276"/>
      <c r="K219" s="276"/>
      <c r="L219" s="157">
        <v>6000</v>
      </c>
      <c r="M219" s="250"/>
      <c r="N219" s="277"/>
      <c r="O219" s="100">
        <f t="shared" si="1"/>
        <v>0</v>
      </c>
      <c r="P219" s="101"/>
      <c r="Q219" s="278"/>
      <c r="R219" s="279"/>
    </row>
    <row r="220" spans="1:18" ht="18" customHeight="1">
      <c r="A220" s="159">
        <v>0</v>
      </c>
      <c r="B220" s="160"/>
      <c r="C220" s="274"/>
      <c r="D220" s="274"/>
      <c r="E220" s="275"/>
      <c r="F220" s="265" t="s">
        <v>151</v>
      </c>
      <c r="G220" s="160"/>
      <c r="H220" s="276"/>
      <c r="I220" s="276"/>
      <c r="J220" s="276"/>
      <c r="K220" s="276"/>
      <c r="L220" s="157">
        <v>4300</v>
      </c>
      <c r="M220" s="250"/>
      <c r="N220" s="277"/>
      <c r="O220" s="100">
        <f t="shared" si="1"/>
        <v>0</v>
      </c>
      <c r="P220" s="101"/>
      <c r="Q220" s="278"/>
      <c r="R220" s="279"/>
    </row>
    <row r="221" spans="1:18" ht="18" customHeight="1">
      <c r="A221" s="159">
        <v>0</v>
      </c>
      <c r="B221" s="160"/>
      <c r="C221" s="274"/>
      <c r="D221" s="274"/>
      <c r="E221" s="275"/>
      <c r="F221" s="265" t="s">
        <v>153</v>
      </c>
      <c r="G221" s="160"/>
      <c r="H221" s="276"/>
      <c r="I221" s="276"/>
      <c r="J221" s="276"/>
      <c r="K221" s="276"/>
      <c r="L221" s="157">
        <v>8100</v>
      </c>
      <c r="M221" s="250"/>
      <c r="N221" s="277"/>
      <c r="O221" s="100">
        <f t="shared" si="1"/>
        <v>0</v>
      </c>
      <c r="P221" s="101"/>
      <c r="Q221" s="278"/>
      <c r="R221" s="279"/>
    </row>
    <row r="222" spans="1:18" ht="18" customHeight="1">
      <c r="A222" s="159">
        <v>0</v>
      </c>
      <c r="B222" s="160"/>
      <c r="C222" s="274"/>
      <c r="D222" s="274"/>
      <c r="E222" s="275"/>
      <c r="F222" s="265" t="s">
        <v>606</v>
      </c>
      <c r="G222" s="160"/>
      <c r="H222" s="276"/>
      <c r="I222" s="276"/>
      <c r="J222" s="276"/>
      <c r="K222" s="276"/>
      <c r="L222" s="157">
        <v>2100</v>
      </c>
      <c r="M222" s="250"/>
      <c r="N222" s="277"/>
      <c r="O222" s="100">
        <f t="shared" si="1"/>
        <v>0</v>
      </c>
      <c r="P222" s="101"/>
      <c r="Q222" s="278"/>
      <c r="R222" s="279"/>
    </row>
    <row r="223" spans="1:18" ht="18" customHeight="1">
      <c r="A223" s="159">
        <v>0</v>
      </c>
      <c r="B223" s="160"/>
      <c r="C223" s="274"/>
      <c r="D223" s="274"/>
      <c r="E223" s="275"/>
      <c r="F223" s="265" t="s">
        <v>607</v>
      </c>
      <c r="G223" s="160"/>
      <c r="H223" s="276"/>
      <c r="I223" s="276"/>
      <c r="J223" s="276"/>
      <c r="K223" s="276"/>
      <c r="L223" s="157">
        <v>2300</v>
      </c>
      <c r="M223" s="250"/>
      <c r="N223" s="277"/>
      <c r="O223" s="100">
        <f t="shared" si="1"/>
        <v>0</v>
      </c>
      <c r="P223" s="101"/>
      <c r="Q223" s="278"/>
      <c r="R223" s="279"/>
    </row>
    <row r="224" spans="1:18" ht="18" customHeight="1">
      <c r="A224" s="159">
        <v>0</v>
      </c>
      <c r="B224" s="160"/>
      <c r="C224" s="274"/>
      <c r="D224" s="274"/>
      <c r="E224" s="275"/>
      <c r="F224" s="265" t="s">
        <v>594</v>
      </c>
      <c r="G224" s="160"/>
      <c r="H224" s="276"/>
      <c r="I224" s="276"/>
      <c r="J224" s="276"/>
      <c r="K224" s="276"/>
      <c r="L224" s="157">
        <v>2418</v>
      </c>
      <c r="M224" s="250"/>
      <c r="N224" s="277"/>
      <c r="O224" s="100">
        <f t="shared" si="1"/>
        <v>0</v>
      </c>
      <c r="P224" s="101"/>
      <c r="Q224" s="278"/>
      <c r="R224" s="279"/>
    </row>
    <row r="225" spans="1:18" ht="18" customHeight="1">
      <c r="A225" s="159">
        <v>0</v>
      </c>
      <c r="B225" s="160"/>
      <c r="C225" s="274"/>
      <c r="D225" s="274"/>
      <c r="E225" s="275"/>
      <c r="F225" s="265" t="s">
        <v>604</v>
      </c>
      <c r="G225" s="160"/>
      <c r="H225" s="276"/>
      <c r="I225" s="276"/>
      <c r="J225" s="276"/>
      <c r="K225" s="276"/>
      <c r="L225" s="157">
        <v>1501</v>
      </c>
      <c r="M225" s="250"/>
      <c r="N225" s="277"/>
      <c r="O225" s="100">
        <f t="shared" si="1"/>
        <v>0</v>
      </c>
      <c r="P225" s="101"/>
      <c r="Q225" s="278"/>
      <c r="R225" s="279"/>
    </row>
    <row r="226" spans="1:18" ht="18" customHeight="1">
      <c r="A226" s="159">
        <v>0</v>
      </c>
      <c r="B226" s="160"/>
      <c r="C226" s="274"/>
      <c r="D226" s="274"/>
      <c r="E226" s="275"/>
      <c r="F226" s="265" t="s">
        <v>187</v>
      </c>
      <c r="G226" s="160"/>
      <c r="H226" s="276"/>
      <c r="I226" s="276"/>
      <c r="J226" s="276"/>
      <c r="K226" s="276"/>
      <c r="L226" s="157">
        <v>300</v>
      </c>
      <c r="M226" s="250"/>
      <c r="N226" s="277"/>
      <c r="O226" s="100">
        <f t="shared" si="1"/>
        <v>0</v>
      </c>
      <c r="P226" s="101"/>
      <c r="Q226" s="278"/>
      <c r="R226" s="279"/>
    </row>
    <row r="227" spans="1:18" ht="18" customHeight="1">
      <c r="A227" s="159">
        <v>0</v>
      </c>
      <c r="B227" s="160"/>
      <c r="C227" s="274"/>
      <c r="D227" s="274"/>
      <c r="E227" s="275"/>
      <c r="F227" s="265" t="s">
        <v>368</v>
      </c>
      <c r="G227" s="160"/>
      <c r="H227" s="276"/>
      <c r="I227" s="276"/>
      <c r="J227" s="276"/>
      <c r="K227" s="276"/>
      <c r="L227" s="157">
        <v>2400</v>
      </c>
      <c r="M227" s="250"/>
      <c r="N227" s="277"/>
      <c r="O227" s="100">
        <f t="shared" si="1"/>
        <v>0</v>
      </c>
      <c r="P227" s="101"/>
      <c r="Q227" s="278"/>
      <c r="R227" s="279"/>
    </row>
    <row r="228" spans="1:18" ht="18" customHeight="1">
      <c r="A228" s="159">
        <v>0</v>
      </c>
      <c r="B228" s="160"/>
      <c r="C228" s="274"/>
      <c r="D228" s="274"/>
      <c r="E228" s="275"/>
      <c r="F228" s="265">
        <v>10400310370</v>
      </c>
      <c r="G228" s="160"/>
      <c r="H228" s="276"/>
      <c r="I228" s="276"/>
      <c r="J228" s="276"/>
      <c r="K228" s="276"/>
      <c r="L228" s="157">
        <v>1550</v>
      </c>
      <c r="M228" s="250"/>
      <c r="N228" s="277"/>
      <c r="O228" s="100">
        <f t="shared" si="1"/>
        <v>0</v>
      </c>
      <c r="P228" s="101"/>
      <c r="Q228" s="278"/>
      <c r="R228" s="279"/>
    </row>
    <row r="229" spans="1:18" ht="18" customHeight="1">
      <c r="A229" s="159">
        <v>0</v>
      </c>
      <c r="B229" s="160"/>
      <c r="C229" s="274"/>
      <c r="D229" s="274"/>
      <c r="E229" s="275"/>
      <c r="F229" s="265" t="s">
        <v>99</v>
      </c>
      <c r="G229" s="160"/>
      <c r="H229" s="276"/>
      <c r="I229" s="276"/>
      <c r="J229" s="276"/>
      <c r="K229" s="276"/>
      <c r="L229" s="157">
        <v>2000</v>
      </c>
      <c r="M229" s="250"/>
      <c r="N229" s="277"/>
      <c r="O229" s="100">
        <f t="shared" si="1"/>
        <v>0</v>
      </c>
      <c r="P229" s="101"/>
      <c r="Q229" s="278"/>
      <c r="R229" s="279"/>
    </row>
    <row r="230" spans="1:18" ht="18" customHeight="1">
      <c r="A230" s="159">
        <v>0</v>
      </c>
      <c r="B230" s="160"/>
      <c r="C230" s="274"/>
      <c r="D230" s="274"/>
      <c r="E230" s="275"/>
      <c r="F230" s="265" t="s">
        <v>71</v>
      </c>
      <c r="G230" s="160"/>
      <c r="H230" s="276"/>
      <c r="I230" s="276"/>
      <c r="J230" s="276"/>
      <c r="K230" s="276"/>
      <c r="L230" s="157">
        <v>365</v>
      </c>
      <c r="M230" s="250"/>
      <c r="N230" s="277"/>
      <c r="O230" s="100">
        <f t="shared" si="1"/>
        <v>0</v>
      </c>
      <c r="P230" s="101"/>
      <c r="Q230" s="278"/>
      <c r="R230" s="279"/>
    </row>
    <row r="231" spans="1:18" ht="18" customHeight="1">
      <c r="A231" s="159">
        <v>0</v>
      </c>
      <c r="B231" s="160"/>
      <c r="C231" s="274"/>
      <c r="D231" s="274"/>
      <c r="E231" s="275"/>
      <c r="F231" s="265" t="s">
        <v>389</v>
      </c>
      <c r="G231" s="160"/>
      <c r="H231" s="276"/>
      <c r="I231" s="276"/>
      <c r="J231" s="276"/>
      <c r="K231" s="276"/>
      <c r="L231" s="157">
        <v>2100</v>
      </c>
      <c r="M231" s="250"/>
      <c r="N231" s="277"/>
      <c r="O231" s="100">
        <f t="shared" si="1"/>
        <v>0</v>
      </c>
      <c r="P231" s="101"/>
      <c r="Q231" s="278"/>
      <c r="R231" s="279"/>
    </row>
    <row r="232" spans="1:18" ht="18" customHeight="1">
      <c r="A232" s="159">
        <v>0</v>
      </c>
      <c r="B232" s="160"/>
      <c r="C232" s="274"/>
      <c r="D232" s="274"/>
      <c r="E232" s="275"/>
      <c r="F232" s="265" t="s">
        <v>622</v>
      </c>
      <c r="G232" s="160"/>
      <c r="H232" s="276"/>
      <c r="I232" s="276"/>
      <c r="J232" s="276"/>
      <c r="K232" s="276"/>
      <c r="L232" s="157">
        <v>800</v>
      </c>
      <c r="M232" s="250"/>
      <c r="N232" s="277"/>
      <c r="O232" s="100">
        <f t="shared" si="1"/>
        <v>0</v>
      </c>
      <c r="P232" s="101"/>
      <c r="Q232" s="278"/>
      <c r="R232" s="279"/>
    </row>
    <row r="233" spans="1:18" ht="18" customHeight="1">
      <c r="A233" s="159">
        <v>0</v>
      </c>
      <c r="B233" s="160"/>
      <c r="C233" s="274"/>
      <c r="D233" s="274"/>
      <c r="E233" s="275"/>
      <c r="F233" s="265" t="s">
        <v>388</v>
      </c>
      <c r="G233" s="160"/>
      <c r="H233" s="276"/>
      <c r="I233" s="276"/>
      <c r="J233" s="276"/>
      <c r="K233" s="276"/>
      <c r="L233" s="157">
        <v>1340</v>
      </c>
      <c r="M233" s="250"/>
      <c r="N233" s="277"/>
      <c r="O233" s="100">
        <f t="shared" si="1"/>
        <v>0</v>
      </c>
      <c r="P233" s="101"/>
      <c r="Q233" s="278"/>
      <c r="R233" s="279"/>
    </row>
    <row r="234" spans="1:18" ht="18" customHeight="1">
      <c r="A234" s="159">
        <v>0</v>
      </c>
      <c r="B234" s="160"/>
      <c r="C234" s="274"/>
      <c r="D234" s="274"/>
      <c r="E234" s="275"/>
      <c r="F234" s="265" t="s">
        <v>647</v>
      </c>
      <c r="G234" s="160"/>
      <c r="H234" s="276"/>
      <c r="I234" s="276"/>
      <c r="J234" s="276"/>
      <c r="K234" s="276"/>
      <c r="L234" s="157">
        <v>1960</v>
      </c>
      <c r="M234" s="250"/>
      <c r="N234" s="277"/>
      <c r="O234" s="100">
        <f t="shared" si="1"/>
        <v>0</v>
      </c>
      <c r="P234" s="101"/>
      <c r="Q234" s="278"/>
      <c r="R234" s="279"/>
    </row>
    <row r="235" spans="1:18" ht="18" customHeight="1">
      <c r="A235" s="159">
        <v>0</v>
      </c>
      <c r="B235" s="160"/>
      <c r="C235" s="274"/>
      <c r="D235" s="274"/>
      <c r="E235" s="275"/>
      <c r="F235" s="265" t="s">
        <v>185</v>
      </c>
      <c r="G235" s="160"/>
      <c r="H235" s="276"/>
      <c r="I235" s="276"/>
      <c r="J235" s="276"/>
      <c r="K235" s="276"/>
      <c r="L235" s="157">
        <v>2500</v>
      </c>
      <c r="M235" s="250"/>
      <c r="N235" s="277"/>
      <c r="O235" s="100">
        <f t="shared" si="1"/>
        <v>0</v>
      </c>
      <c r="P235" s="101"/>
      <c r="Q235" s="278"/>
      <c r="R235" s="279"/>
    </row>
    <row r="236" spans="1:18" ht="18" customHeight="1">
      <c r="A236" s="159">
        <v>0</v>
      </c>
      <c r="B236" s="160"/>
      <c r="C236" s="274"/>
      <c r="D236" s="274"/>
      <c r="E236" s="275"/>
      <c r="F236" s="265" t="s">
        <v>345</v>
      </c>
      <c r="G236" s="160"/>
      <c r="H236" s="276"/>
      <c r="I236" s="276"/>
      <c r="J236" s="276"/>
      <c r="K236" s="276"/>
      <c r="L236" s="157">
        <v>1500</v>
      </c>
      <c r="M236" s="250"/>
      <c r="N236" s="277"/>
      <c r="O236" s="100">
        <f t="shared" si="1"/>
        <v>0</v>
      </c>
      <c r="P236" s="101"/>
      <c r="Q236" s="278"/>
      <c r="R236" s="279"/>
    </row>
    <row r="237" spans="1:18" ht="18" customHeight="1">
      <c r="A237" s="159">
        <v>0</v>
      </c>
      <c r="B237" s="160"/>
      <c r="C237" s="274"/>
      <c r="D237" s="274"/>
      <c r="E237" s="275"/>
      <c r="F237" s="265" t="s">
        <v>384</v>
      </c>
      <c r="G237" s="160"/>
      <c r="H237" s="276"/>
      <c r="I237" s="276"/>
      <c r="J237" s="276"/>
      <c r="K237" s="276"/>
      <c r="L237" s="157">
        <v>2500</v>
      </c>
      <c r="M237" s="250"/>
      <c r="N237" s="277"/>
      <c r="O237" s="100">
        <f t="shared" si="1"/>
        <v>0</v>
      </c>
      <c r="P237" s="101"/>
      <c r="Q237" s="278"/>
      <c r="R237" s="279"/>
    </row>
    <row r="238" spans="1:18" ht="18" customHeight="1">
      <c r="A238" s="159">
        <v>0</v>
      </c>
      <c r="B238" s="160"/>
      <c r="C238" s="274"/>
      <c r="D238" s="274"/>
      <c r="E238" s="275"/>
      <c r="F238" s="265" t="s">
        <v>167</v>
      </c>
      <c r="G238" s="160"/>
      <c r="H238" s="276"/>
      <c r="I238" s="276"/>
      <c r="J238" s="276"/>
      <c r="K238" s="276"/>
      <c r="L238" s="157">
        <v>500</v>
      </c>
      <c r="M238" s="250"/>
      <c r="N238" s="277"/>
      <c r="O238" s="100">
        <f t="shared" si="1"/>
        <v>0</v>
      </c>
      <c r="P238" s="101"/>
      <c r="Q238" s="278"/>
      <c r="R238" s="279"/>
    </row>
    <row r="239" spans="1:18" ht="18" customHeight="1">
      <c r="A239" s="159">
        <v>0</v>
      </c>
      <c r="B239" s="160"/>
      <c r="C239" s="274"/>
      <c r="D239" s="274"/>
      <c r="E239" s="275"/>
      <c r="F239" s="265" t="s">
        <v>117</v>
      </c>
      <c r="G239" s="160"/>
      <c r="H239" s="276"/>
      <c r="I239" s="276"/>
      <c r="J239" s="276"/>
      <c r="K239" s="276"/>
      <c r="L239" s="157">
        <v>8000</v>
      </c>
      <c r="M239" s="250"/>
      <c r="N239" s="277"/>
      <c r="O239" s="100">
        <f t="shared" si="1"/>
        <v>0</v>
      </c>
      <c r="P239" s="101"/>
      <c r="Q239" s="278"/>
      <c r="R239" s="279"/>
    </row>
    <row r="240" spans="1:18" ht="18" customHeight="1">
      <c r="A240" s="159">
        <v>0</v>
      </c>
      <c r="B240" s="160"/>
      <c r="C240" s="274"/>
      <c r="D240" s="274"/>
      <c r="E240" s="275"/>
      <c r="F240" s="265" t="s">
        <v>169</v>
      </c>
      <c r="G240" s="160"/>
      <c r="H240" s="276"/>
      <c r="I240" s="276"/>
      <c r="J240" s="276"/>
      <c r="K240" s="276"/>
      <c r="L240" s="157">
        <v>7000</v>
      </c>
      <c r="M240" s="250"/>
      <c r="N240" s="277"/>
      <c r="O240" s="100">
        <f t="shared" si="1"/>
        <v>0</v>
      </c>
      <c r="P240" s="101"/>
      <c r="Q240" s="278"/>
      <c r="R240" s="279"/>
    </row>
    <row r="241" spans="1:18" ht="18" customHeight="1">
      <c r="A241" s="159">
        <v>0</v>
      </c>
      <c r="B241" s="160"/>
      <c r="C241" s="274"/>
      <c r="D241" s="274"/>
      <c r="E241" s="275"/>
      <c r="F241" s="265" t="s">
        <v>72</v>
      </c>
      <c r="G241" s="160"/>
      <c r="H241" s="276"/>
      <c r="I241" s="276"/>
      <c r="J241" s="276"/>
      <c r="K241" s="276"/>
      <c r="L241" s="157">
        <v>10000</v>
      </c>
      <c r="M241" s="250"/>
      <c r="N241" s="277"/>
      <c r="O241" s="100">
        <f t="shared" si="1"/>
        <v>0</v>
      </c>
      <c r="P241" s="101"/>
      <c r="Q241" s="278"/>
      <c r="R241" s="279"/>
    </row>
    <row r="242" spans="1:18" ht="18" customHeight="1">
      <c r="A242" s="159">
        <v>0</v>
      </c>
      <c r="B242" s="160"/>
      <c r="C242" s="274"/>
      <c r="D242" s="274"/>
      <c r="E242" s="275"/>
      <c r="F242" s="265" t="s">
        <v>379</v>
      </c>
      <c r="G242" s="160"/>
      <c r="H242" s="276"/>
      <c r="I242" s="276"/>
      <c r="J242" s="276"/>
      <c r="K242" s="276"/>
      <c r="L242" s="157">
        <v>12000</v>
      </c>
      <c r="M242" s="250"/>
      <c r="N242" s="277"/>
      <c r="O242" s="100">
        <f t="shared" si="1"/>
        <v>0</v>
      </c>
      <c r="P242" s="101"/>
      <c r="Q242" s="278"/>
      <c r="R242" s="279"/>
    </row>
    <row r="243" spans="1:18" ht="18" customHeight="1">
      <c r="A243" s="159">
        <v>0</v>
      </c>
      <c r="B243" s="160"/>
      <c r="C243" s="274"/>
      <c r="D243" s="274"/>
      <c r="E243" s="275"/>
      <c r="F243" s="265" t="s">
        <v>165</v>
      </c>
      <c r="G243" s="160"/>
      <c r="H243" s="276"/>
      <c r="I243" s="276"/>
      <c r="J243" s="276"/>
      <c r="K243" s="276"/>
      <c r="L243" s="157">
        <v>50000</v>
      </c>
      <c r="M243" s="250"/>
      <c r="N243" s="277"/>
      <c r="O243" s="100">
        <f t="shared" si="1"/>
        <v>0</v>
      </c>
      <c r="P243" s="101"/>
      <c r="Q243" s="278"/>
      <c r="R243" s="279"/>
    </row>
    <row r="244" spans="1:18" ht="18" customHeight="1">
      <c r="A244" s="159">
        <v>0</v>
      </c>
      <c r="B244" s="160"/>
      <c r="C244" s="274"/>
      <c r="D244" s="274"/>
      <c r="E244" s="275"/>
      <c r="F244" s="265" t="s">
        <v>663</v>
      </c>
      <c r="G244" s="160"/>
      <c r="H244" s="276"/>
      <c r="I244" s="276"/>
      <c r="J244" s="276"/>
      <c r="K244" s="276"/>
      <c r="L244" s="157">
        <v>1008</v>
      </c>
      <c r="M244" s="250"/>
      <c r="N244" s="277"/>
      <c r="O244" s="100">
        <f t="shared" si="1"/>
        <v>0</v>
      </c>
      <c r="P244" s="101"/>
      <c r="Q244" s="278"/>
      <c r="R244" s="279"/>
    </row>
    <row r="245" spans="1:18" ht="18" customHeight="1">
      <c r="A245" s="159">
        <v>0</v>
      </c>
      <c r="B245" s="160"/>
      <c r="C245" s="274"/>
      <c r="D245" s="274"/>
      <c r="E245" s="275"/>
      <c r="F245" s="265" t="s">
        <v>664</v>
      </c>
      <c r="G245" s="160"/>
      <c r="H245" s="276"/>
      <c r="I245" s="276"/>
      <c r="J245" s="276"/>
      <c r="K245" s="276"/>
      <c r="L245" s="157">
        <v>1040</v>
      </c>
      <c r="M245" s="250"/>
      <c r="N245" s="277"/>
      <c r="O245" s="100">
        <f t="shared" si="1"/>
        <v>0</v>
      </c>
      <c r="P245" s="101"/>
      <c r="Q245" s="278"/>
      <c r="R245" s="279"/>
    </row>
    <row r="246" spans="1:18" ht="18" customHeight="1">
      <c r="A246" s="159">
        <v>0</v>
      </c>
      <c r="B246" s="160"/>
      <c r="C246" s="274"/>
      <c r="D246" s="274"/>
      <c r="E246" s="275"/>
      <c r="F246" s="265" t="s">
        <v>712</v>
      </c>
      <c r="G246" s="160"/>
      <c r="H246" s="276"/>
      <c r="I246" s="276"/>
      <c r="J246" s="276"/>
      <c r="K246" s="276"/>
      <c r="L246" s="157">
        <v>420</v>
      </c>
      <c r="M246" s="250"/>
      <c r="N246" s="277"/>
      <c r="O246" s="100">
        <f t="shared" si="1"/>
        <v>0</v>
      </c>
      <c r="P246" s="101"/>
      <c r="Q246" s="278"/>
      <c r="R246" s="279"/>
    </row>
    <row r="247" spans="1:18" ht="18" customHeight="1">
      <c r="A247" s="159">
        <v>0</v>
      </c>
      <c r="B247" s="160"/>
      <c r="C247" s="274"/>
      <c r="D247" s="274"/>
      <c r="E247" s="275"/>
      <c r="F247" s="265" t="s">
        <v>713</v>
      </c>
      <c r="G247" s="160"/>
      <c r="H247" s="276"/>
      <c r="I247" s="276"/>
      <c r="J247" s="276"/>
      <c r="K247" s="276"/>
      <c r="L247" s="157">
        <v>320</v>
      </c>
      <c r="M247" s="250"/>
      <c r="N247" s="277"/>
      <c r="O247" s="100">
        <f t="shared" si="1"/>
        <v>0</v>
      </c>
      <c r="P247" s="101"/>
      <c r="Q247" s="278"/>
      <c r="R247" s="279"/>
    </row>
    <row r="248" spans="1:18" ht="18" customHeight="1">
      <c r="A248" s="159">
        <v>0</v>
      </c>
      <c r="B248" s="160"/>
      <c r="C248" s="274"/>
      <c r="D248" s="274"/>
      <c r="E248" s="275"/>
      <c r="F248" s="265" t="s">
        <v>510</v>
      </c>
      <c r="G248" s="160"/>
      <c r="H248" s="276"/>
      <c r="I248" s="276"/>
      <c r="J248" s="276"/>
      <c r="K248" s="276"/>
      <c r="L248" s="157">
        <v>300</v>
      </c>
      <c r="M248" s="250"/>
      <c r="N248" s="277"/>
      <c r="O248" s="100">
        <f t="shared" si="1"/>
        <v>0</v>
      </c>
      <c r="P248" s="101"/>
      <c r="Q248" s="278"/>
      <c r="R248" s="279"/>
    </row>
    <row r="249" spans="1:18" ht="18" customHeight="1">
      <c r="A249" s="159">
        <v>0</v>
      </c>
      <c r="B249" s="160"/>
      <c r="C249" s="274"/>
      <c r="D249" s="274"/>
      <c r="E249" s="275"/>
      <c r="F249" s="265" t="s">
        <v>179</v>
      </c>
      <c r="G249" s="160"/>
      <c r="H249" s="276"/>
      <c r="I249" s="276"/>
      <c r="J249" s="276"/>
      <c r="K249" s="276"/>
      <c r="L249" s="157">
        <v>2112</v>
      </c>
      <c r="M249" s="250"/>
      <c r="N249" s="277"/>
      <c r="O249" s="100">
        <f t="shared" si="1"/>
        <v>0</v>
      </c>
      <c r="P249" s="101"/>
      <c r="Q249" s="278"/>
      <c r="R249" s="279"/>
    </row>
    <row r="250" spans="1:18" ht="18" customHeight="1">
      <c r="A250" s="159">
        <v>0</v>
      </c>
      <c r="B250" s="160"/>
      <c r="C250" s="274"/>
      <c r="D250" s="274"/>
      <c r="E250" s="275"/>
      <c r="F250" s="265" t="s">
        <v>630</v>
      </c>
      <c r="G250" s="160"/>
      <c r="H250" s="276"/>
      <c r="I250" s="276"/>
      <c r="J250" s="276"/>
      <c r="K250" s="276"/>
      <c r="L250" s="157">
        <v>3480</v>
      </c>
      <c r="M250" s="250"/>
      <c r="N250" s="277"/>
      <c r="O250" s="100">
        <f t="shared" si="1"/>
        <v>0</v>
      </c>
      <c r="P250" s="101"/>
      <c r="Q250" s="278"/>
      <c r="R250" s="279"/>
    </row>
    <row r="251" spans="1:18" ht="18" customHeight="1">
      <c r="A251" s="159">
        <v>0</v>
      </c>
      <c r="B251" s="160"/>
      <c r="C251" s="274"/>
      <c r="D251" s="274"/>
      <c r="E251" s="275"/>
      <c r="F251" s="265" t="s">
        <v>90</v>
      </c>
      <c r="G251" s="160"/>
      <c r="H251" s="276"/>
      <c r="I251" s="276"/>
      <c r="J251" s="276"/>
      <c r="K251" s="276"/>
      <c r="L251" s="157">
        <v>650</v>
      </c>
      <c r="M251" s="250"/>
      <c r="N251" s="277"/>
      <c r="O251" s="100">
        <f t="shared" si="1"/>
        <v>0</v>
      </c>
      <c r="P251" s="101"/>
      <c r="Q251" s="278"/>
      <c r="R251" s="279"/>
    </row>
    <row r="252" spans="1:18" ht="18" customHeight="1">
      <c r="A252" s="159">
        <v>0</v>
      </c>
      <c r="B252" s="160"/>
      <c r="C252" s="274"/>
      <c r="D252" s="274"/>
      <c r="E252" s="275"/>
      <c r="F252" s="265" t="s">
        <v>632</v>
      </c>
      <c r="G252" s="160"/>
      <c r="H252" s="276"/>
      <c r="I252" s="276"/>
      <c r="J252" s="276"/>
      <c r="K252" s="276"/>
      <c r="L252" s="157">
        <v>1368</v>
      </c>
      <c r="M252" s="250"/>
      <c r="N252" s="277"/>
      <c r="O252" s="100">
        <f t="shared" si="1"/>
        <v>0</v>
      </c>
      <c r="P252" s="101"/>
      <c r="Q252" s="278"/>
      <c r="R252" s="279"/>
    </row>
    <row r="253" spans="1:18" ht="18" customHeight="1">
      <c r="A253" s="159">
        <v>0</v>
      </c>
      <c r="B253" s="160"/>
      <c r="C253" s="274"/>
      <c r="D253" s="274"/>
      <c r="E253" s="275"/>
      <c r="F253" s="265" t="s">
        <v>631</v>
      </c>
      <c r="G253" s="160"/>
      <c r="H253" s="276"/>
      <c r="I253" s="276"/>
      <c r="J253" s="276"/>
      <c r="K253" s="276"/>
      <c r="L253" s="157">
        <v>2940</v>
      </c>
      <c r="M253" s="250"/>
      <c r="N253" s="277"/>
      <c r="O253" s="100">
        <f t="shared" si="1"/>
        <v>0</v>
      </c>
      <c r="P253" s="101"/>
      <c r="Q253" s="278"/>
      <c r="R253" s="279"/>
    </row>
    <row r="254" spans="1:18" ht="18" customHeight="1">
      <c r="A254" s="159">
        <v>0</v>
      </c>
      <c r="B254" s="160"/>
      <c r="C254" s="274"/>
      <c r="D254" s="274"/>
      <c r="E254" s="275"/>
      <c r="F254" s="265" t="s">
        <v>688</v>
      </c>
      <c r="G254" s="160"/>
      <c r="H254" s="276"/>
      <c r="I254" s="276"/>
      <c r="J254" s="276"/>
      <c r="K254" s="276"/>
      <c r="L254" s="157">
        <v>300</v>
      </c>
      <c r="M254" s="250"/>
      <c r="N254" s="277"/>
      <c r="O254" s="100">
        <f t="shared" ref="O254:O317" si="2">L254*M254</f>
        <v>0</v>
      </c>
      <c r="P254" s="101"/>
      <c r="Q254" s="278"/>
      <c r="R254" s="279"/>
    </row>
    <row r="255" spans="1:18" ht="18" customHeight="1">
      <c r="A255" s="159">
        <v>0</v>
      </c>
      <c r="B255" s="160"/>
      <c r="C255" s="274"/>
      <c r="D255" s="274"/>
      <c r="E255" s="275"/>
      <c r="F255" s="265" t="s">
        <v>633</v>
      </c>
      <c r="G255" s="160"/>
      <c r="H255" s="276"/>
      <c r="I255" s="276"/>
      <c r="J255" s="276"/>
      <c r="K255" s="276"/>
      <c r="L255" s="157">
        <v>3000</v>
      </c>
      <c r="M255" s="250"/>
      <c r="N255" s="277"/>
      <c r="O255" s="100">
        <f t="shared" si="2"/>
        <v>0</v>
      </c>
      <c r="P255" s="101"/>
      <c r="Q255" s="278"/>
      <c r="R255" s="279"/>
    </row>
    <row r="256" spans="1:18" ht="18" customHeight="1">
      <c r="A256" s="159">
        <v>0</v>
      </c>
      <c r="B256" s="160"/>
      <c r="C256" s="274"/>
      <c r="D256" s="274"/>
      <c r="E256" s="275"/>
      <c r="F256" s="265" t="s">
        <v>681</v>
      </c>
      <c r="G256" s="160"/>
      <c r="H256" s="276"/>
      <c r="I256" s="276"/>
      <c r="J256" s="276"/>
      <c r="K256" s="276"/>
      <c r="L256" s="157">
        <v>2000</v>
      </c>
      <c r="M256" s="250"/>
      <c r="N256" s="277"/>
      <c r="O256" s="100">
        <f t="shared" si="2"/>
        <v>0</v>
      </c>
      <c r="P256" s="101"/>
      <c r="Q256" s="278"/>
      <c r="R256" s="279"/>
    </row>
    <row r="257" spans="1:18" ht="18" customHeight="1">
      <c r="A257" s="159">
        <v>0</v>
      </c>
      <c r="B257" s="160"/>
      <c r="C257" s="274"/>
      <c r="D257" s="274"/>
      <c r="E257" s="275"/>
      <c r="F257" s="265" t="s">
        <v>78</v>
      </c>
      <c r="G257" s="160"/>
      <c r="H257" s="276"/>
      <c r="I257" s="276"/>
      <c r="J257" s="276"/>
      <c r="K257" s="276"/>
      <c r="L257" s="157">
        <v>3000</v>
      </c>
      <c r="M257" s="250"/>
      <c r="N257" s="277"/>
      <c r="O257" s="100">
        <f t="shared" si="2"/>
        <v>0</v>
      </c>
      <c r="P257" s="101"/>
      <c r="Q257" s="278"/>
      <c r="R257" s="279"/>
    </row>
    <row r="258" spans="1:18" ht="18" customHeight="1">
      <c r="A258" s="159">
        <v>0</v>
      </c>
      <c r="B258" s="160"/>
      <c r="C258" s="274"/>
      <c r="D258" s="274"/>
      <c r="E258" s="275"/>
      <c r="F258" s="265" t="s">
        <v>690</v>
      </c>
      <c r="G258" s="160"/>
      <c r="H258" s="276"/>
      <c r="I258" s="276"/>
      <c r="J258" s="276"/>
      <c r="K258" s="276"/>
      <c r="L258" s="157">
        <v>3000</v>
      </c>
      <c r="M258" s="250"/>
      <c r="N258" s="277"/>
      <c r="O258" s="100">
        <f t="shared" si="2"/>
        <v>0</v>
      </c>
      <c r="P258" s="101"/>
      <c r="Q258" s="278"/>
      <c r="R258" s="279"/>
    </row>
    <row r="259" spans="1:18" ht="18" customHeight="1">
      <c r="A259" s="159">
        <v>0</v>
      </c>
      <c r="B259" s="160"/>
      <c r="C259" s="274"/>
      <c r="D259" s="274"/>
      <c r="E259" s="275"/>
      <c r="F259" s="265" t="s">
        <v>711</v>
      </c>
      <c r="G259" s="160"/>
      <c r="H259" s="276"/>
      <c r="I259" s="276"/>
      <c r="J259" s="276"/>
      <c r="K259" s="276"/>
      <c r="L259" s="157">
        <v>10000</v>
      </c>
      <c r="M259" s="250"/>
      <c r="N259" s="277"/>
      <c r="O259" s="100">
        <f t="shared" si="2"/>
        <v>0</v>
      </c>
      <c r="P259" s="101"/>
      <c r="Q259" s="278"/>
      <c r="R259" s="279"/>
    </row>
    <row r="260" spans="1:18" ht="18" customHeight="1">
      <c r="A260" s="159">
        <v>0</v>
      </c>
      <c r="B260" s="160"/>
      <c r="C260" s="274"/>
      <c r="D260" s="274"/>
      <c r="E260" s="275"/>
      <c r="F260" s="265" t="s">
        <v>726</v>
      </c>
      <c r="G260" s="160"/>
      <c r="H260" s="276"/>
      <c r="I260" s="276"/>
      <c r="J260" s="276"/>
      <c r="K260" s="276"/>
      <c r="L260" s="157">
        <v>10000</v>
      </c>
      <c r="M260" s="250"/>
      <c r="N260" s="277"/>
      <c r="O260" s="100">
        <f t="shared" si="2"/>
        <v>0</v>
      </c>
      <c r="P260" s="101"/>
      <c r="Q260" s="278"/>
      <c r="R260" s="279"/>
    </row>
    <row r="261" spans="1:18" ht="18" customHeight="1">
      <c r="A261" s="159">
        <v>0</v>
      </c>
      <c r="B261" s="160"/>
      <c r="C261" s="274"/>
      <c r="D261" s="274"/>
      <c r="E261" s="275"/>
      <c r="F261" s="265" t="s">
        <v>372</v>
      </c>
      <c r="G261" s="160"/>
      <c r="H261" s="276"/>
      <c r="I261" s="276"/>
      <c r="J261" s="276"/>
      <c r="K261" s="276"/>
      <c r="L261" s="157">
        <v>1000</v>
      </c>
      <c r="M261" s="250"/>
      <c r="N261" s="277"/>
      <c r="O261" s="100">
        <f t="shared" si="2"/>
        <v>0</v>
      </c>
      <c r="P261" s="101"/>
      <c r="Q261" s="278"/>
      <c r="R261" s="279"/>
    </row>
    <row r="262" spans="1:18" ht="18" customHeight="1">
      <c r="A262" s="159">
        <v>0</v>
      </c>
      <c r="B262" s="160"/>
      <c r="C262" s="274"/>
      <c r="D262" s="274"/>
      <c r="E262" s="275"/>
      <c r="F262" s="265" t="s">
        <v>617</v>
      </c>
      <c r="G262" s="160"/>
      <c r="H262" s="276"/>
      <c r="I262" s="276"/>
      <c r="J262" s="276"/>
      <c r="K262" s="276"/>
      <c r="L262" s="157">
        <v>3000</v>
      </c>
      <c r="M262" s="250"/>
      <c r="N262" s="277"/>
      <c r="O262" s="100">
        <f t="shared" si="2"/>
        <v>0</v>
      </c>
      <c r="P262" s="101"/>
      <c r="Q262" s="278"/>
      <c r="R262" s="279"/>
    </row>
    <row r="263" spans="1:18" ht="18" customHeight="1">
      <c r="A263" s="159">
        <v>0</v>
      </c>
      <c r="B263" s="160"/>
      <c r="C263" s="274"/>
      <c r="D263" s="274"/>
      <c r="E263" s="275"/>
      <c r="F263" s="265" t="s">
        <v>619</v>
      </c>
      <c r="G263" s="160"/>
      <c r="H263" s="276"/>
      <c r="I263" s="276"/>
      <c r="J263" s="276"/>
      <c r="K263" s="276"/>
      <c r="L263" s="157">
        <v>1000</v>
      </c>
      <c r="M263" s="250"/>
      <c r="N263" s="277"/>
      <c r="O263" s="100">
        <f t="shared" si="2"/>
        <v>0</v>
      </c>
      <c r="P263" s="101"/>
      <c r="Q263" s="278"/>
      <c r="R263" s="279"/>
    </row>
    <row r="264" spans="1:18" ht="18" customHeight="1">
      <c r="A264" s="159">
        <v>0</v>
      </c>
      <c r="B264" s="160"/>
      <c r="C264" s="274"/>
      <c r="D264" s="274"/>
      <c r="E264" s="275"/>
      <c r="F264" s="265" t="s">
        <v>68</v>
      </c>
      <c r="G264" s="160"/>
      <c r="H264" s="276"/>
      <c r="I264" s="276"/>
      <c r="J264" s="276"/>
      <c r="K264" s="276"/>
      <c r="L264" s="157">
        <v>200</v>
      </c>
      <c r="M264" s="250"/>
      <c r="N264" s="277"/>
      <c r="O264" s="100">
        <f t="shared" si="2"/>
        <v>0</v>
      </c>
      <c r="P264" s="101"/>
      <c r="Q264" s="278"/>
      <c r="R264" s="279"/>
    </row>
    <row r="265" spans="1:18" ht="18" customHeight="1">
      <c r="A265" s="159">
        <v>0</v>
      </c>
      <c r="B265" s="160"/>
      <c r="C265" s="274"/>
      <c r="D265" s="274"/>
      <c r="E265" s="275"/>
      <c r="F265" s="265" t="s">
        <v>362</v>
      </c>
      <c r="G265" s="160"/>
      <c r="H265" s="276"/>
      <c r="I265" s="276"/>
      <c r="J265" s="276"/>
      <c r="K265" s="276"/>
      <c r="L265" s="157">
        <v>600</v>
      </c>
      <c r="M265" s="250"/>
      <c r="N265" s="277"/>
      <c r="O265" s="100">
        <f t="shared" si="2"/>
        <v>0</v>
      </c>
      <c r="P265" s="101"/>
      <c r="Q265" s="278"/>
      <c r="R265" s="279"/>
    </row>
    <row r="266" spans="1:18" ht="18" customHeight="1">
      <c r="A266" s="159">
        <v>0</v>
      </c>
      <c r="B266" s="160"/>
      <c r="C266" s="274"/>
      <c r="D266" s="274"/>
      <c r="E266" s="275"/>
      <c r="F266" s="265" t="s">
        <v>685</v>
      </c>
      <c r="G266" s="160"/>
      <c r="H266" s="276"/>
      <c r="I266" s="276"/>
      <c r="J266" s="276"/>
      <c r="K266" s="276"/>
      <c r="L266" s="157">
        <v>1860</v>
      </c>
      <c r="M266" s="250"/>
      <c r="N266" s="277"/>
      <c r="O266" s="100">
        <f t="shared" si="2"/>
        <v>0</v>
      </c>
      <c r="P266" s="101"/>
      <c r="Q266" s="278"/>
      <c r="R266" s="279"/>
    </row>
    <row r="267" spans="1:18" ht="18" customHeight="1">
      <c r="A267" s="159">
        <v>0</v>
      </c>
      <c r="B267" s="160"/>
      <c r="C267" s="274"/>
      <c r="D267" s="274"/>
      <c r="E267" s="275"/>
      <c r="F267" s="265" t="s">
        <v>365</v>
      </c>
      <c r="G267" s="160"/>
      <c r="H267" s="276"/>
      <c r="I267" s="276"/>
      <c r="J267" s="276"/>
      <c r="K267" s="276"/>
      <c r="L267" s="157">
        <v>2000</v>
      </c>
      <c r="M267" s="250"/>
      <c r="N267" s="277"/>
      <c r="O267" s="100">
        <f t="shared" si="2"/>
        <v>0</v>
      </c>
      <c r="P267" s="101"/>
      <c r="Q267" s="278"/>
      <c r="R267" s="279"/>
    </row>
    <row r="268" spans="1:18" ht="18" customHeight="1">
      <c r="A268" s="159">
        <v>0</v>
      </c>
      <c r="B268" s="160"/>
      <c r="C268" s="274"/>
      <c r="D268" s="274"/>
      <c r="E268" s="275"/>
      <c r="F268" s="265" t="s">
        <v>82</v>
      </c>
      <c r="G268" s="160"/>
      <c r="H268" s="276"/>
      <c r="I268" s="276"/>
      <c r="J268" s="276"/>
      <c r="K268" s="276"/>
      <c r="L268" s="157">
        <v>200</v>
      </c>
      <c r="M268" s="250"/>
      <c r="N268" s="277"/>
      <c r="O268" s="100">
        <f t="shared" si="2"/>
        <v>0</v>
      </c>
      <c r="P268" s="101"/>
      <c r="Q268" s="278"/>
      <c r="R268" s="279"/>
    </row>
    <row r="269" spans="1:18" ht="18" customHeight="1">
      <c r="A269" s="159">
        <v>0</v>
      </c>
      <c r="B269" s="160"/>
      <c r="C269" s="274"/>
      <c r="D269" s="274"/>
      <c r="E269" s="275"/>
      <c r="F269" s="265" t="s">
        <v>385</v>
      </c>
      <c r="G269" s="160"/>
      <c r="H269" s="276"/>
      <c r="I269" s="276"/>
      <c r="J269" s="276"/>
      <c r="K269" s="276"/>
      <c r="L269" s="157">
        <v>2000</v>
      </c>
      <c r="M269" s="250"/>
      <c r="N269" s="277"/>
      <c r="O269" s="100">
        <f t="shared" si="2"/>
        <v>0</v>
      </c>
      <c r="P269" s="101"/>
      <c r="Q269" s="278"/>
      <c r="R269" s="279"/>
    </row>
    <row r="270" spans="1:18" ht="18" customHeight="1">
      <c r="A270" s="159">
        <v>0</v>
      </c>
      <c r="B270" s="160"/>
      <c r="C270" s="274"/>
      <c r="D270" s="274"/>
      <c r="E270" s="275"/>
      <c r="F270" s="265" t="s">
        <v>680</v>
      </c>
      <c r="G270" s="160"/>
      <c r="H270" s="276"/>
      <c r="I270" s="276"/>
      <c r="J270" s="276"/>
      <c r="K270" s="276"/>
      <c r="L270" s="157">
        <v>7500</v>
      </c>
      <c r="M270" s="250"/>
      <c r="N270" s="277"/>
      <c r="O270" s="100">
        <f t="shared" si="2"/>
        <v>0</v>
      </c>
      <c r="P270" s="101"/>
      <c r="Q270" s="278"/>
      <c r="R270" s="279"/>
    </row>
    <row r="271" spans="1:18" ht="18" customHeight="1">
      <c r="A271" s="159">
        <v>0</v>
      </c>
      <c r="B271" s="160"/>
      <c r="C271" s="274"/>
      <c r="D271" s="274"/>
      <c r="E271" s="275"/>
      <c r="F271" s="265" t="s">
        <v>641</v>
      </c>
      <c r="G271" s="160"/>
      <c r="H271" s="276"/>
      <c r="I271" s="276"/>
      <c r="J271" s="276"/>
      <c r="K271" s="276"/>
      <c r="L271" s="157">
        <v>3200</v>
      </c>
      <c r="M271" s="250"/>
      <c r="N271" s="277"/>
      <c r="O271" s="100">
        <f t="shared" si="2"/>
        <v>0</v>
      </c>
      <c r="P271" s="101"/>
      <c r="Q271" s="278"/>
      <c r="R271" s="279"/>
    </row>
    <row r="272" spans="1:18" ht="18" customHeight="1">
      <c r="A272" s="159">
        <v>0</v>
      </c>
      <c r="B272" s="160"/>
      <c r="C272" s="274"/>
      <c r="D272" s="274"/>
      <c r="E272" s="275"/>
      <c r="F272" s="265" t="s">
        <v>665</v>
      </c>
      <c r="G272" s="160"/>
      <c r="H272" s="276"/>
      <c r="I272" s="276"/>
      <c r="J272" s="276"/>
      <c r="K272" s="276"/>
      <c r="L272" s="157">
        <v>400</v>
      </c>
      <c r="M272" s="250"/>
      <c r="N272" s="277"/>
      <c r="O272" s="100">
        <f t="shared" si="2"/>
        <v>0</v>
      </c>
      <c r="P272" s="101"/>
      <c r="Q272" s="278"/>
      <c r="R272" s="279"/>
    </row>
    <row r="273" spans="1:18" ht="18" customHeight="1">
      <c r="A273" s="159">
        <v>0</v>
      </c>
      <c r="B273" s="160"/>
      <c r="C273" s="274"/>
      <c r="D273" s="274"/>
      <c r="E273" s="275"/>
      <c r="F273" s="265" t="s">
        <v>666</v>
      </c>
      <c r="G273" s="160"/>
      <c r="H273" s="276"/>
      <c r="I273" s="276"/>
      <c r="J273" s="276"/>
      <c r="K273" s="276"/>
      <c r="L273" s="157">
        <v>374</v>
      </c>
      <c r="M273" s="250"/>
      <c r="N273" s="277"/>
      <c r="O273" s="100">
        <f t="shared" si="2"/>
        <v>0</v>
      </c>
      <c r="P273" s="101"/>
      <c r="Q273" s="278"/>
      <c r="R273" s="279"/>
    </row>
    <row r="274" spans="1:18" ht="18" customHeight="1">
      <c r="A274" s="159">
        <v>0</v>
      </c>
      <c r="B274" s="160"/>
      <c r="C274" s="274"/>
      <c r="D274" s="274"/>
      <c r="E274" s="275"/>
      <c r="F274" s="265" t="s">
        <v>371</v>
      </c>
      <c r="G274" s="160"/>
      <c r="H274" s="276"/>
      <c r="I274" s="276"/>
      <c r="J274" s="276"/>
      <c r="K274" s="276"/>
      <c r="L274" s="157">
        <v>2000</v>
      </c>
      <c r="M274" s="250"/>
      <c r="N274" s="277"/>
      <c r="O274" s="100">
        <f t="shared" si="2"/>
        <v>0</v>
      </c>
      <c r="P274" s="101"/>
      <c r="Q274" s="278"/>
      <c r="R274" s="279"/>
    </row>
    <row r="275" spans="1:18" ht="18" customHeight="1">
      <c r="A275" s="159">
        <v>0</v>
      </c>
      <c r="B275" s="160"/>
      <c r="C275" s="274"/>
      <c r="D275" s="274"/>
      <c r="E275" s="275"/>
      <c r="F275" s="265" t="s">
        <v>696</v>
      </c>
      <c r="G275" s="160"/>
      <c r="H275" s="276"/>
      <c r="I275" s="276"/>
      <c r="J275" s="276"/>
      <c r="K275" s="276"/>
      <c r="L275" s="157">
        <v>1000</v>
      </c>
      <c r="M275" s="250"/>
      <c r="N275" s="277"/>
      <c r="O275" s="100">
        <f t="shared" si="2"/>
        <v>0</v>
      </c>
      <c r="P275" s="101"/>
      <c r="Q275" s="278"/>
      <c r="R275" s="279"/>
    </row>
    <row r="276" spans="1:18" ht="18" customHeight="1">
      <c r="A276" s="159">
        <v>0</v>
      </c>
      <c r="B276" s="160"/>
      <c r="C276" s="274"/>
      <c r="D276" s="274"/>
      <c r="E276" s="275"/>
      <c r="F276" s="265" t="s">
        <v>638</v>
      </c>
      <c r="G276" s="160"/>
      <c r="H276" s="276"/>
      <c r="I276" s="276"/>
      <c r="J276" s="276"/>
      <c r="K276" s="276"/>
      <c r="L276" s="157">
        <v>6000</v>
      </c>
      <c r="M276" s="250"/>
      <c r="N276" s="277"/>
      <c r="O276" s="100">
        <f t="shared" si="2"/>
        <v>0</v>
      </c>
      <c r="P276" s="101"/>
      <c r="Q276" s="278"/>
      <c r="R276" s="279"/>
    </row>
    <row r="277" spans="1:18" ht="18" customHeight="1">
      <c r="A277" s="159">
        <v>0</v>
      </c>
      <c r="B277" s="160"/>
      <c r="C277" s="274"/>
      <c r="D277" s="274"/>
      <c r="E277" s="275"/>
      <c r="F277" s="265" t="s">
        <v>677</v>
      </c>
      <c r="G277" s="160"/>
      <c r="H277" s="276"/>
      <c r="I277" s="276"/>
      <c r="J277" s="276"/>
      <c r="K277" s="276"/>
      <c r="L277" s="157">
        <v>1220</v>
      </c>
      <c r="M277" s="250"/>
      <c r="N277" s="277"/>
      <c r="O277" s="100">
        <f t="shared" si="2"/>
        <v>0</v>
      </c>
      <c r="P277" s="101"/>
      <c r="Q277" s="278"/>
      <c r="R277" s="279"/>
    </row>
    <row r="278" spans="1:18" ht="18" customHeight="1">
      <c r="A278" s="159">
        <v>0</v>
      </c>
      <c r="B278" s="160"/>
      <c r="C278" s="274"/>
      <c r="D278" s="274"/>
      <c r="E278" s="275"/>
      <c r="F278" s="265" t="s">
        <v>111</v>
      </c>
      <c r="G278" s="160"/>
      <c r="H278" s="276"/>
      <c r="I278" s="276"/>
      <c r="J278" s="276"/>
      <c r="K278" s="276"/>
      <c r="L278" s="157">
        <v>2500</v>
      </c>
      <c r="M278" s="250"/>
      <c r="N278" s="277"/>
      <c r="O278" s="100">
        <f t="shared" si="2"/>
        <v>0</v>
      </c>
      <c r="P278" s="101"/>
      <c r="Q278" s="278"/>
      <c r="R278" s="279"/>
    </row>
    <row r="279" spans="1:18" ht="18" customHeight="1">
      <c r="A279" s="159">
        <v>0</v>
      </c>
      <c r="B279" s="160"/>
      <c r="C279" s="274"/>
      <c r="D279" s="274"/>
      <c r="E279" s="275"/>
      <c r="F279" s="265" t="s">
        <v>601</v>
      </c>
      <c r="G279" s="160"/>
      <c r="H279" s="276"/>
      <c r="I279" s="276"/>
      <c r="J279" s="276"/>
      <c r="K279" s="276"/>
      <c r="L279" s="157">
        <v>2000</v>
      </c>
      <c r="M279" s="250"/>
      <c r="N279" s="277"/>
      <c r="O279" s="100">
        <f t="shared" si="2"/>
        <v>0</v>
      </c>
      <c r="P279" s="101"/>
      <c r="Q279" s="278"/>
      <c r="R279" s="279"/>
    </row>
    <row r="280" spans="1:18" ht="18" customHeight="1">
      <c r="A280" s="159">
        <v>0</v>
      </c>
      <c r="B280" s="160"/>
      <c r="C280" s="274"/>
      <c r="D280" s="274"/>
      <c r="E280" s="275"/>
      <c r="F280" s="265" t="s">
        <v>376</v>
      </c>
      <c r="G280" s="160"/>
      <c r="H280" s="276"/>
      <c r="I280" s="276"/>
      <c r="J280" s="276"/>
      <c r="K280" s="276"/>
      <c r="L280" s="157">
        <v>4000</v>
      </c>
      <c r="M280" s="250"/>
      <c r="N280" s="277"/>
      <c r="O280" s="100">
        <f t="shared" si="2"/>
        <v>0</v>
      </c>
      <c r="P280" s="101"/>
      <c r="Q280" s="278"/>
      <c r="R280" s="279"/>
    </row>
    <row r="281" spans="1:18" ht="18" customHeight="1">
      <c r="A281" s="159">
        <v>0</v>
      </c>
      <c r="B281" s="160"/>
      <c r="C281" s="274"/>
      <c r="D281" s="274"/>
      <c r="E281" s="275"/>
      <c r="F281" s="265" t="s">
        <v>694</v>
      </c>
      <c r="G281" s="160"/>
      <c r="H281" s="276"/>
      <c r="I281" s="276"/>
      <c r="J281" s="276"/>
      <c r="K281" s="276"/>
      <c r="L281" s="157">
        <v>500</v>
      </c>
      <c r="M281" s="250"/>
      <c r="N281" s="277"/>
      <c r="O281" s="100">
        <f t="shared" si="2"/>
        <v>0</v>
      </c>
      <c r="P281" s="101"/>
      <c r="Q281" s="278"/>
      <c r="R281" s="279"/>
    </row>
    <row r="282" spans="1:18" ht="18" customHeight="1">
      <c r="A282" s="159">
        <v>0</v>
      </c>
      <c r="B282" s="160"/>
      <c r="C282" s="274"/>
      <c r="D282" s="274"/>
      <c r="E282" s="275"/>
      <c r="F282" s="265" t="s">
        <v>634</v>
      </c>
      <c r="G282" s="160"/>
      <c r="H282" s="276"/>
      <c r="I282" s="276"/>
      <c r="J282" s="276"/>
      <c r="K282" s="276"/>
      <c r="L282" s="157">
        <v>3000</v>
      </c>
      <c r="M282" s="250"/>
      <c r="N282" s="277"/>
      <c r="O282" s="100">
        <f t="shared" si="2"/>
        <v>0</v>
      </c>
      <c r="P282" s="101"/>
      <c r="Q282" s="278"/>
      <c r="R282" s="279"/>
    </row>
    <row r="283" spans="1:18" ht="18" customHeight="1">
      <c r="A283" s="159">
        <v>0</v>
      </c>
      <c r="B283" s="160"/>
      <c r="C283" s="274"/>
      <c r="D283" s="274"/>
      <c r="E283" s="275"/>
      <c r="F283" s="265" t="s">
        <v>639</v>
      </c>
      <c r="G283" s="160"/>
      <c r="H283" s="276"/>
      <c r="I283" s="276"/>
      <c r="J283" s="276"/>
      <c r="K283" s="276"/>
      <c r="L283" s="157">
        <v>4000</v>
      </c>
      <c r="M283" s="250"/>
      <c r="N283" s="277"/>
      <c r="O283" s="100">
        <f t="shared" si="2"/>
        <v>0</v>
      </c>
      <c r="P283" s="101"/>
      <c r="Q283" s="278"/>
      <c r="R283" s="279"/>
    </row>
    <row r="284" spans="1:18" ht="18" customHeight="1">
      <c r="A284" s="159">
        <v>0</v>
      </c>
      <c r="B284" s="160"/>
      <c r="C284" s="274"/>
      <c r="D284" s="274"/>
      <c r="E284" s="275"/>
      <c r="F284" s="265" t="s">
        <v>695</v>
      </c>
      <c r="G284" s="160"/>
      <c r="H284" s="276"/>
      <c r="I284" s="276"/>
      <c r="J284" s="276"/>
      <c r="K284" s="276"/>
      <c r="L284" s="157">
        <v>250</v>
      </c>
      <c r="M284" s="250"/>
      <c r="N284" s="277"/>
      <c r="O284" s="100">
        <f t="shared" si="2"/>
        <v>0</v>
      </c>
      <c r="P284" s="101"/>
      <c r="Q284" s="278"/>
      <c r="R284" s="279"/>
    </row>
    <row r="285" spans="1:18" ht="18" customHeight="1">
      <c r="A285" s="159">
        <v>0</v>
      </c>
      <c r="B285" s="160"/>
      <c r="C285" s="274"/>
      <c r="D285" s="274"/>
      <c r="E285" s="275"/>
      <c r="F285" s="265" t="s">
        <v>112</v>
      </c>
      <c r="G285" s="160"/>
      <c r="H285" s="276"/>
      <c r="I285" s="276"/>
      <c r="J285" s="276"/>
      <c r="K285" s="276"/>
      <c r="L285" s="157">
        <v>2400</v>
      </c>
      <c r="M285" s="250"/>
      <c r="N285" s="277"/>
      <c r="O285" s="100">
        <f t="shared" si="2"/>
        <v>0</v>
      </c>
      <c r="P285" s="101"/>
      <c r="Q285" s="278"/>
      <c r="R285" s="279"/>
    </row>
    <row r="286" spans="1:18" ht="18" customHeight="1">
      <c r="A286" s="159">
        <v>0</v>
      </c>
      <c r="B286" s="160"/>
      <c r="C286" s="274"/>
      <c r="D286" s="274"/>
      <c r="E286" s="275"/>
      <c r="F286" s="265" t="s">
        <v>391</v>
      </c>
      <c r="G286" s="160"/>
      <c r="H286" s="276"/>
      <c r="I286" s="276"/>
      <c r="J286" s="276"/>
      <c r="K286" s="276"/>
      <c r="L286" s="157">
        <v>4400</v>
      </c>
      <c r="M286" s="250"/>
      <c r="N286" s="277"/>
      <c r="O286" s="100">
        <f t="shared" si="2"/>
        <v>0</v>
      </c>
      <c r="P286" s="101"/>
      <c r="Q286" s="278"/>
      <c r="R286" s="279"/>
    </row>
    <row r="287" spans="1:18" ht="18" customHeight="1">
      <c r="A287" s="159">
        <v>0</v>
      </c>
      <c r="B287" s="160"/>
      <c r="C287" s="274"/>
      <c r="D287" s="274"/>
      <c r="E287" s="275"/>
      <c r="F287" s="265" t="s">
        <v>722</v>
      </c>
      <c r="G287" s="160"/>
      <c r="H287" s="276"/>
      <c r="I287" s="276"/>
      <c r="J287" s="276"/>
      <c r="K287" s="276"/>
      <c r="L287" s="157">
        <v>320</v>
      </c>
      <c r="M287" s="250"/>
      <c r="N287" s="277"/>
      <c r="O287" s="100">
        <f t="shared" si="2"/>
        <v>0</v>
      </c>
      <c r="P287" s="101"/>
      <c r="Q287" s="278"/>
      <c r="R287" s="279"/>
    </row>
    <row r="288" spans="1:18" ht="18" customHeight="1">
      <c r="A288" s="159">
        <v>0</v>
      </c>
      <c r="B288" s="160"/>
      <c r="C288" s="274"/>
      <c r="D288" s="274"/>
      <c r="E288" s="275"/>
      <c r="F288" s="265" t="s">
        <v>691</v>
      </c>
      <c r="G288" s="160"/>
      <c r="H288" s="276"/>
      <c r="I288" s="276"/>
      <c r="J288" s="276"/>
      <c r="K288" s="276"/>
      <c r="L288" s="157">
        <v>1800</v>
      </c>
      <c r="M288" s="250"/>
      <c r="N288" s="277"/>
      <c r="O288" s="100">
        <f t="shared" si="2"/>
        <v>0</v>
      </c>
      <c r="P288" s="101"/>
      <c r="Q288" s="278"/>
      <c r="R288" s="279"/>
    </row>
    <row r="289" spans="1:18" ht="18" customHeight="1">
      <c r="A289" s="159">
        <v>0</v>
      </c>
      <c r="B289" s="160"/>
      <c r="C289" s="274"/>
      <c r="D289" s="274"/>
      <c r="E289" s="275"/>
      <c r="F289" s="265" t="s">
        <v>692</v>
      </c>
      <c r="G289" s="160"/>
      <c r="H289" s="276"/>
      <c r="I289" s="276"/>
      <c r="J289" s="276"/>
      <c r="K289" s="276"/>
      <c r="L289" s="157">
        <v>2000</v>
      </c>
      <c r="M289" s="250"/>
      <c r="N289" s="277"/>
      <c r="O289" s="100">
        <f t="shared" si="2"/>
        <v>0</v>
      </c>
      <c r="P289" s="101"/>
      <c r="Q289" s="278"/>
      <c r="R289" s="279"/>
    </row>
    <row r="290" spans="1:18" ht="18" customHeight="1">
      <c r="A290" s="159">
        <v>0</v>
      </c>
      <c r="B290" s="160"/>
      <c r="C290" s="274"/>
      <c r="D290" s="274"/>
      <c r="E290" s="275"/>
      <c r="F290" s="265" t="s">
        <v>693</v>
      </c>
      <c r="G290" s="160"/>
      <c r="H290" s="276"/>
      <c r="I290" s="276"/>
      <c r="J290" s="276"/>
      <c r="K290" s="276"/>
      <c r="L290" s="157">
        <v>750</v>
      </c>
      <c r="M290" s="250"/>
      <c r="N290" s="277"/>
      <c r="O290" s="100">
        <f t="shared" si="2"/>
        <v>0</v>
      </c>
      <c r="P290" s="101"/>
      <c r="Q290" s="278"/>
      <c r="R290" s="279"/>
    </row>
    <row r="291" spans="1:18" ht="18" customHeight="1">
      <c r="A291" s="159">
        <v>0</v>
      </c>
      <c r="B291" s="160"/>
      <c r="C291" s="274"/>
      <c r="D291" s="274"/>
      <c r="E291" s="275"/>
      <c r="F291" s="265" t="s">
        <v>682</v>
      </c>
      <c r="G291" s="160"/>
      <c r="H291" s="276"/>
      <c r="I291" s="276"/>
      <c r="J291" s="276"/>
      <c r="K291" s="276"/>
      <c r="L291" s="157">
        <v>200</v>
      </c>
      <c r="M291" s="250"/>
      <c r="N291" s="277"/>
      <c r="O291" s="100">
        <f t="shared" si="2"/>
        <v>0</v>
      </c>
      <c r="P291" s="101"/>
      <c r="Q291" s="278"/>
      <c r="R291" s="279"/>
    </row>
    <row r="292" spans="1:18" ht="18" customHeight="1">
      <c r="A292" s="159">
        <v>0</v>
      </c>
      <c r="B292" s="160"/>
      <c r="C292" s="274"/>
      <c r="D292" s="274"/>
      <c r="E292" s="275"/>
      <c r="F292" s="265" t="s">
        <v>600</v>
      </c>
      <c r="G292" s="160"/>
      <c r="H292" s="276"/>
      <c r="I292" s="276"/>
      <c r="J292" s="276"/>
      <c r="K292" s="276"/>
      <c r="L292" s="157">
        <v>2000</v>
      </c>
      <c r="M292" s="250"/>
      <c r="N292" s="277"/>
      <c r="O292" s="100">
        <f t="shared" si="2"/>
        <v>0</v>
      </c>
      <c r="P292" s="101"/>
      <c r="Q292" s="278"/>
      <c r="R292" s="279"/>
    </row>
    <row r="293" spans="1:18" ht="18" customHeight="1">
      <c r="A293" s="159">
        <v>0</v>
      </c>
      <c r="B293" s="160"/>
      <c r="C293" s="274"/>
      <c r="D293" s="274"/>
      <c r="E293" s="275"/>
      <c r="F293" s="265" t="s">
        <v>94</v>
      </c>
      <c r="G293" s="160"/>
      <c r="H293" s="276"/>
      <c r="I293" s="276"/>
      <c r="J293" s="276"/>
      <c r="K293" s="276"/>
      <c r="L293" s="157">
        <v>2000</v>
      </c>
      <c r="M293" s="250"/>
      <c r="N293" s="277"/>
      <c r="O293" s="100">
        <f t="shared" si="2"/>
        <v>0</v>
      </c>
      <c r="P293" s="101"/>
      <c r="Q293" s="278"/>
      <c r="R293" s="279"/>
    </row>
    <row r="294" spans="1:18" ht="18" customHeight="1">
      <c r="A294" s="159">
        <v>0</v>
      </c>
      <c r="B294" s="160"/>
      <c r="C294" s="274"/>
      <c r="D294" s="274"/>
      <c r="E294" s="275"/>
      <c r="F294" s="265" t="s">
        <v>107</v>
      </c>
      <c r="G294" s="160"/>
      <c r="H294" s="276"/>
      <c r="I294" s="276"/>
      <c r="J294" s="276"/>
      <c r="K294" s="276"/>
      <c r="L294" s="157">
        <v>2000</v>
      </c>
      <c r="M294" s="250"/>
      <c r="N294" s="277"/>
      <c r="O294" s="100">
        <f t="shared" si="2"/>
        <v>0</v>
      </c>
      <c r="P294" s="101"/>
      <c r="Q294" s="278"/>
      <c r="R294" s="279"/>
    </row>
    <row r="295" spans="1:18" ht="18" customHeight="1">
      <c r="A295" s="159">
        <v>0</v>
      </c>
      <c r="B295" s="160"/>
      <c r="C295" s="274"/>
      <c r="D295" s="274"/>
      <c r="E295" s="275"/>
      <c r="F295" s="265" t="s">
        <v>96</v>
      </c>
      <c r="G295" s="160"/>
      <c r="H295" s="276"/>
      <c r="I295" s="276"/>
      <c r="J295" s="276"/>
      <c r="K295" s="276"/>
      <c r="L295" s="157">
        <v>1000</v>
      </c>
      <c r="M295" s="250"/>
      <c r="N295" s="277"/>
      <c r="O295" s="100">
        <f t="shared" si="2"/>
        <v>0</v>
      </c>
      <c r="P295" s="101"/>
      <c r="Q295" s="278"/>
      <c r="R295" s="279"/>
    </row>
    <row r="296" spans="1:18" ht="18" customHeight="1">
      <c r="A296" s="159">
        <v>0</v>
      </c>
      <c r="B296" s="160"/>
      <c r="C296" s="274"/>
      <c r="D296" s="274"/>
      <c r="E296" s="275"/>
      <c r="F296" s="265" t="s">
        <v>906</v>
      </c>
      <c r="G296" s="160"/>
      <c r="H296" s="276"/>
      <c r="I296" s="276"/>
      <c r="J296" s="276"/>
      <c r="K296" s="276"/>
      <c r="L296" s="157">
        <v>153000</v>
      </c>
      <c r="M296" s="250"/>
      <c r="N296" s="277"/>
      <c r="O296" s="100">
        <f t="shared" si="2"/>
        <v>0</v>
      </c>
      <c r="P296" s="101"/>
      <c r="Q296" s="278"/>
      <c r="R296" s="279"/>
    </row>
    <row r="297" spans="1:18" ht="18" customHeight="1">
      <c r="A297" s="159">
        <v>0</v>
      </c>
      <c r="B297" s="160"/>
      <c r="C297" s="274"/>
      <c r="D297" s="274"/>
      <c r="E297" s="275"/>
      <c r="F297" s="265" t="s">
        <v>595</v>
      </c>
      <c r="G297" s="160"/>
      <c r="H297" s="276"/>
      <c r="I297" s="276"/>
      <c r="J297" s="276"/>
      <c r="K297" s="276"/>
      <c r="L297" s="157">
        <v>40000</v>
      </c>
      <c r="M297" s="250"/>
      <c r="N297" s="277"/>
      <c r="O297" s="100">
        <f t="shared" si="2"/>
        <v>0</v>
      </c>
      <c r="P297" s="101"/>
      <c r="Q297" s="278"/>
      <c r="R297" s="279"/>
    </row>
    <row r="298" spans="1:18" ht="18" customHeight="1">
      <c r="A298" s="159">
        <v>0</v>
      </c>
      <c r="B298" s="160"/>
      <c r="C298" s="274"/>
      <c r="D298" s="274"/>
      <c r="E298" s="275"/>
      <c r="F298" s="265" t="s">
        <v>387</v>
      </c>
      <c r="G298" s="160"/>
      <c r="H298" s="276"/>
      <c r="I298" s="276"/>
      <c r="J298" s="276"/>
      <c r="K298" s="276"/>
      <c r="L298" s="157">
        <v>9000</v>
      </c>
      <c r="M298" s="250"/>
      <c r="N298" s="277"/>
      <c r="O298" s="100">
        <f t="shared" si="2"/>
        <v>0</v>
      </c>
      <c r="P298" s="101"/>
      <c r="Q298" s="278"/>
      <c r="R298" s="279"/>
    </row>
    <row r="299" spans="1:18" ht="18" customHeight="1">
      <c r="A299" s="159">
        <v>0</v>
      </c>
      <c r="B299" s="160"/>
      <c r="C299" s="274"/>
      <c r="D299" s="274"/>
      <c r="E299" s="275"/>
      <c r="F299" s="265" t="s">
        <v>603</v>
      </c>
      <c r="G299" s="160"/>
      <c r="H299" s="276"/>
      <c r="I299" s="276"/>
      <c r="J299" s="276"/>
      <c r="K299" s="276"/>
      <c r="L299" s="157">
        <v>2000</v>
      </c>
      <c r="M299" s="250"/>
      <c r="N299" s="277"/>
      <c r="O299" s="100">
        <f t="shared" si="2"/>
        <v>0</v>
      </c>
      <c r="P299" s="101"/>
      <c r="Q299" s="278"/>
      <c r="R299" s="279"/>
    </row>
    <row r="300" spans="1:18" ht="18" customHeight="1">
      <c r="A300" s="159">
        <v>0</v>
      </c>
      <c r="B300" s="160"/>
      <c r="C300" s="274"/>
      <c r="D300" s="274"/>
      <c r="E300" s="275"/>
      <c r="F300" s="265" t="s">
        <v>635</v>
      </c>
      <c r="G300" s="160"/>
      <c r="H300" s="276"/>
      <c r="I300" s="276"/>
      <c r="J300" s="276"/>
      <c r="K300" s="276"/>
      <c r="L300" s="157">
        <v>800</v>
      </c>
      <c r="M300" s="250"/>
      <c r="N300" s="277"/>
      <c r="O300" s="100">
        <f t="shared" si="2"/>
        <v>0</v>
      </c>
      <c r="P300" s="101"/>
      <c r="Q300" s="278"/>
      <c r="R300" s="279"/>
    </row>
    <row r="301" spans="1:18" ht="18" customHeight="1">
      <c r="A301" s="159">
        <v>0</v>
      </c>
      <c r="B301" s="160"/>
      <c r="C301" s="274"/>
      <c r="D301" s="274"/>
      <c r="E301" s="275"/>
      <c r="F301" s="265" t="s">
        <v>636</v>
      </c>
      <c r="G301" s="160"/>
      <c r="H301" s="276"/>
      <c r="I301" s="276"/>
      <c r="J301" s="276"/>
      <c r="K301" s="276"/>
      <c r="L301" s="157">
        <v>1000</v>
      </c>
      <c r="M301" s="250"/>
      <c r="N301" s="277"/>
      <c r="O301" s="100">
        <f t="shared" si="2"/>
        <v>0</v>
      </c>
      <c r="P301" s="101"/>
      <c r="Q301" s="278"/>
      <c r="R301" s="279"/>
    </row>
    <row r="302" spans="1:18" ht="18" customHeight="1">
      <c r="A302" s="159">
        <v>0</v>
      </c>
      <c r="B302" s="160"/>
      <c r="C302" s="274"/>
      <c r="D302" s="274"/>
      <c r="E302" s="275"/>
      <c r="F302" s="265" t="s">
        <v>686</v>
      </c>
      <c r="G302" s="160"/>
      <c r="H302" s="276"/>
      <c r="I302" s="276"/>
      <c r="J302" s="276"/>
      <c r="K302" s="276"/>
      <c r="L302" s="157">
        <v>2509</v>
      </c>
      <c r="M302" s="250"/>
      <c r="N302" s="277"/>
      <c r="O302" s="100">
        <f t="shared" si="2"/>
        <v>0</v>
      </c>
      <c r="P302" s="101"/>
      <c r="Q302" s="278"/>
      <c r="R302" s="279"/>
    </row>
    <row r="303" spans="1:18" ht="18" customHeight="1">
      <c r="A303" s="159">
        <v>0</v>
      </c>
      <c r="B303" s="160"/>
      <c r="C303" s="274"/>
      <c r="D303" s="274"/>
      <c r="E303" s="275"/>
      <c r="F303" s="265" t="s">
        <v>653</v>
      </c>
      <c r="G303" s="160"/>
      <c r="H303" s="276"/>
      <c r="I303" s="276"/>
      <c r="J303" s="276"/>
      <c r="K303" s="276"/>
      <c r="L303" s="157">
        <v>3000</v>
      </c>
      <c r="M303" s="250"/>
      <c r="N303" s="277"/>
      <c r="O303" s="100">
        <f t="shared" si="2"/>
        <v>0</v>
      </c>
      <c r="P303" s="101"/>
      <c r="Q303" s="278"/>
      <c r="R303" s="279"/>
    </row>
    <row r="304" spans="1:18" ht="18" customHeight="1">
      <c r="A304" s="159">
        <v>0</v>
      </c>
      <c r="B304" s="160"/>
      <c r="C304" s="274"/>
      <c r="D304" s="274"/>
      <c r="E304" s="275"/>
      <c r="F304" s="265" t="s">
        <v>189</v>
      </c>
      <c r="G304" s="160"/>
      <c r="H304" s="276"/>
      <c r="I304" s="276"/>
      <c r="J304" s="276"/>
      <c r="K304" s="276"/>
      <c r="L304" s="157">
        <v>5000</v>
      </c>
      <c r="M304" s="250"/>
      <c r="N304" s="277"/>
      <c r="O304" s="100">
        <f t="shared" si="2"/>
        <v>0</v>
      </c>
      <c r="P304" s="101"/>
      <c r="Q304" s="278"/>
      <c r="R304" s="279"/>
    </row>
    <row r="305" spans="1:18" ht="18" customHeight="1">
      <c r="A305" s="159">
        <v>0</v>
      </c>
      <c r="B305" s="160"/>
      <c r="C305" s="274"/>
      <c r="D305" s="274"/>
      <c r="E305" s="275"/>
      <c r="F305" s="265" t="s">
        <v>687</v>
      </c>
      <c r="G305" s="160"/>
      <c r="H305" s="276"/>
      <c r="I305" s="276"/>
      <c r="J305" s="276"/>
      <c r="K305" s="276"/>
      <c r="L305" s="157">
        <v>388</v>
      </c>
      <c r="M305" s="250"/>
      <c r="N305" s="277"/>
      <c r="O305" s="100">
        <f t="shared" si="2"/>
        <v>0</v>
      </c>
      <c r="P305" s="101"/>
      <c r="Q305" s="278"/>
      <c r="R305" s="279"/>
    </row>
    <row r="306" spans="1:18" ht="18" customHeight="1">
      <c r="A306" s="159">
        <v>0</v>
      </c>
      <c r="B306" s="160"/>
      <c r="C306" s="274"/>
      <c r="D306" s="274"/>
      <c r="E306" s="275"/>
      <c r="F306" s="265" t="s">
        <v>689</v>
      </c>
      <c r="G306" s="160"/>
      <c r="H306" s="276"/>
      <c r="I306" s="276"/>
      <c r="J306" s="276"/>
      <c r="K306" s="276"/>
      <c r="L306" s="157">
        <v>311</v>
      </c>
      <c r="M306" s="250"/>
      <c r="N306" s="277"/>
      <c r="O306" s="100">
        <f t="shared" si="2"/>
        <v>0</v>
      </c>
      <c r="P306" s="101"/>
      <c r="Q306" s="278"/>
      <c r="R306" s="279"/>
    </row>
    <row r="307" spans="1:18" ht="18" customHeight="1">
      <c r="A307" s="159">
        <v>0</v>
      </c>
      <c r="B307" s="160"/>
      <c r="C307" s="274"/>
      <c r="D307" s="274"/>
      <c r="E307" s="275"/>
      <c r="F307" s="265" t="s">
        <v>717</v>
      </c>
      <c r="G307" s="160"/>
      <c r="H307" s="276"/>
      <c r="I307" s="276"/>
      <c r="J307" s="276"/>
      <c r="K307" s="276"/>
      <c r="L307" s="157">
        <v>10000</v>
      </c>
      <c r="M307" s="250"/>
      <c r="N307" s="277"/>
      <c r="O307" s="100">
        <f t="shared" si="2"/>
        <v>0</v>
      </c>
      <c r="P307" s="101"/>
      <c r="Q307" s="278"/>
      <c r="R307" s="279"/>
    </row>
    <row r="308" spans="1:18" ht="18" customHeight="1">
      <c r="A308" s="159">
        <v>0</v>
      </c>
      <c r="B308" s="160"/>
      <c r="C308" s="274"/>
      <c r="D308" s="274"/>
      <c r="E308" s="275"/>
      <c r="F308" s="265" t="s">
        <v>515</v>
      </c>
      <c r="G308" s="160"/>
      <c r="H308" s="276"/>
      <c r="I308" s="276"/>
      <c r="J308" s="276"/>
      <c r="K308" s="276"/>
      <c r="L308" s="157">
        <v>1000</v>
      </c>
      <c r="M308" s="250"/>
      <c r="N308" s="277"/>
      <c r="O308" s="100">
        <f t="shared" si="2"/>
        <v>0</v>
      </c>
      <c r="P308" s="101"/>
      <c r="Q308" s="278"/>
      <c r="R308" s="279"/>
    </row>
    <row r="309" spans="1:18" ht="18" customHeight="1">
      <c r="A309" s="159">
        <v>0</v>
      </c>
      <c r="B309" s="160"/>
      <c r="C309" s="274"/>
      <c r="D309" s="274"/>
      <c r="E309" s="275"/>
      <c r="F309" s="265" t="s">
        <v>239</v>
      </c>
      <c r="G309" s="160"/>
      <c r="H309" s="276"/>
      <c r="I309" s="276"/>
      <c r="J309" s="276"/>
      <c r="K309" s="276"/>
      <c r="L309" s="157">
        <v>7120</v>
      </c>
      <c r="M309" s="250"/>
      <c r="N309" s="277"/>
      <c r="O309" s="100">
        <f t="shared" si="2"/>
        <v>0</v>
      </c>
      <c r="P309" s="101"/>
      <c r="Q309" s="278"/>
      <c r="R309" s="279"/>
    </row>
    <row r="310" spans="1:18" ht="18" customHeight="1">
      <c r="A310" s="159">
        <v>0</v>
      </c>
      <c r="B310" s="160"/>
      <c r="C310" s="274"/>
      <c r="D310" s="274"/>
      <c r="E310" s="275"/>
      <c r="F310" s="265" t="s">
        <v>69</v>
      </c>
      <c r="G310" s="160"/>
      <c r="H310" s="276"/>
      <c r="I310" s="276"/>
      <c r="J310" s="276"/>
      <c r="K310" s="276"/>
      <c r="L310" s="157">
        <v>5500</v>
      </c>
      <c r="M310" s="250"/>
      <c r="N310" s="277"/>
      <c r="O310" s="100">
        <f t="shared" si="2"/>
        <v>0</v>
      </c>
      <c r="P310" s="101"/>
      <c r="Q310" s="278"/>
      <c r="R310" s="279"/>
    </row>
    <row r="311" spans="1:18" ht="18" customHeight="1">
      <c r="A311" s="159">
        <v>0</v>
      </c>
      <c r="B311" s="160"/>
      <c r="C311" s="274"/>
      <c r="D311" s="274"/>
      <c r="E311" s="275"/>
      <c r="F311" s="265" t="s">
        <v>86</v>
      </c>
      <c r="G311" s="160"/>
      <c r="H311" s="276"/>
      <c r="I311" s="276"/>
      <c r="J311" s="276"/>
      <c r="K311" s="276"/>
      <c r="L311" s="157">
        <v>31500</v>
      </c>
      <c r="M311" s="250"/>
      <c r="N311" s="277"/>
      <c r="O311" s="100">
        <f t="shared" si="2"/>
        <v>0</v>
      </c>
      <c r="P311" s="101"/>
      <c r="Q311" s="278"/>
      <c r="R311" s="279"/>
    </row>
    <row r="312" spans="1:18" ht="18" customHeight="1">
      <c r="A312" s="159">
        <v>0</v>
      </c>
      <c r="B312" s="160"/>
      <c r="C312" s="274"/>
      <c r="D312" s="274"/>
      <c r="E312" s="275"/>
      <c r="F312" s="265" t="s">
        <v>113</v>
      </c>
      <c r="G312" s="160"/>
      <c r="H312" s="276"/>
      <c r="I312" s="276"/>
      <c r="J312" s="276"/>
      <c r="K312" s="276"/>
      <c r="L312" s="157">
        <v>1500</v>
      </c>
      <c r="M312" s="250"/>
      <c r="N312" s="277"/>
      <c r="O312" s="100">
        <f t="shared" si="2"/>
        <v>0</v>
      </c>
      <c r="P312" s="101"/>
      <c r="Q312" s="278"/>
      <c r="R312" s="279"/>
    </row>
    <row r="313" spans="1:18" ht="18" customHeight="1">
      <c r="A313" s="159">
        <v>0</v>
      </c>
      <c r="B313" s="160"/>
      <c r="C313" s="274"/>
      <c r="D313" s="274"/>
      <c r="E313" s="275"/>
      <c r="F313" s="265" t="s">
        <v>114</v>
      </c>
      <c r="G313" s="160"/>
      <c r="H313" s="276"/>
      <c r="I313" s="276"/>
      <c r="J313" s="276"/>
      <c r="K313" s="276"/>
      <c r="L313" s="157">
        <v>300</v>
      </c>
      <c r="M313" s="250"/>
      <c r="N313" s="277"/>
      <c r="O313" s="100">
        <f t="shared" si="2"/>
        <v>0</v>
      </c>
      <c r="P313" s="101"/>
      <c r="Q313" s="278"/>
      <c r="R313" s="279"/>
    </row>
    <row r="314" spans="1:18" ht="18" customHeight="1">
      <c r="A314" s="159">
        <v>0</v>
      </c>
      <c r="B314" s="160"/>
      <c r="C314" s="274"/>
      <c r="D314" s="274"/>
      <c r="E314" s="275"/>
      <c r="F314" s="265" t="s">
        <v>163</v>
      </c>
      <c r="G314" s="160"/>
      <c r="H314" s="276"/>
      <c r="I314" s="276"/>
      <c r="J314" s="276"/>
      <c r="K314" s="276"/>
      <c r="L314" s="157">
        <v>8400</v>
      </c>
      <c r="M314" s="250"/>
      <c r="N314" s="277"/>
      <c r="O314" s="100">
        <f t="shared" si="2"/>
        <v>0</v>
      </c>
      <c r="P314" s="101"/>
      <c r="Q314" s="278"/>
      <c r="R314" s="279"/>
    </row>
    <row r="315" spans="1:18" ht="18" customHeight="1">
      <c r="A315" s="159">
        <v>0</v>
      </c>
      <c r="B315" s="160"/>
      <c r="C315" s="274"/>
      <c r="D315" s="274"/>
      <c r="E315" s="275"/>
      <c r="F315" s="265" t="s">
        <v>616</v>
      </c>
      <c r="G315" s="160"/>
      <c r="H315" s="276"/>
      <c r="I315" s="276"/>
      <c r="J315" s="276"/>
      <c r="K315" s="276"/>
      <c r="L315" s="157">
        <v>24500</v>
      </c>
      <c r="M315" s="250"/>
      <c r="N315" s="277"/>
      <c r="O315" s="100">
        <f t="shared" si="2"/>
        <v>0</v>
      </c>
      <c r="P315" s="101"/>
      <c r="Q315" s="278"/>
      <c r="R315" s="279"/>
    </row>
    <row r="316" spans="1:18" ht="18" customHeight="1">
      <c r="A316" s="159">
        <v>0</v>
      </c>
      <c r="B316" s="160"/>
      <c r="C316" s="274"/>
      <c r="D316" s="274"/>
      <c r="E316" s="275"/>
      <c r="F316" s="265" t="s">
        <v>383</v>
      </c>
      <c r="G316" s="160"/>
      <c r="H316" s="276"/>
      <c r="I316" s="276"/>
      <c r="J316" s="276"/>
      <c r="K316" s="276"/>
      <c r="L316" s="157">
        <v>5000</v>
      </c>
      <c r="M316" s="250"/>
      <c r="N316" s="277"/>
      <c r="O316" s="100">
        <f t="shared" si="2"/>
        <v>0</v>
      </c>
      <c r="P316" s="101"/>
      <c r="Q316" s="278"/>
      <c r="R316" s="279"/>
    </row>
    <row r="317" spans="1:18" ht="18" customHeight="1">
      <c r="A317" s="159">
        <v>0</v>
      </c>
      <c r="B317" s="160"/>
      <c r="C317" s="274"/>
      <c r="D317" s="274"/>
      <c r="E317" s="275"/>
      <c r="F317" s="265" t="s">
        <v>657</v>
      </c>
      <c r="G317" s="160"/>
      <c r="H317" s="276"/>
      <c r="I317" s="276"/>
      <c r="J317" s="276"/>
      <c r="K317" s="276"/>
      <c r="L317" s="157">
        <v>300</v>
      </c>
      <c r="M317" s="250"/>
      <c r="N317" s="277"/>
      <c r="O317" s="100">
        <f t="shared" si="2"/>
        <v>0</v>
      </c>
      <c r="P317" s="101"/>
      <c r="Q317" s="278"/>
      <c r="R317" s="279"/>
    </row>
    <row r="318" spans="1:18" ht="18" customHeight="1">
      <c r="A318" s="159">
        <v>0</v>
      </c>
      <c r="B318" s="160"/>
      <c r="C318" s="274"/>
      <c r="D318" s="274"/>
      <c r="E318" s="275"/>
      <c r="F318" s="265" t="s">
        <v>380</v>
      </c>
      <c r="G318" s="160"/>
      <c r="H318" s="276"/>
      <c r="I318" s="276"/>
      <c r="J318" s="276"/>
      <c r="K318" s="276"/>
      <c r="L318" s="157">
        <v>4200</v>
      </c>
      <c r="M318" s="250"/>
      <c r="N318" s="277"/>
      <c r="O318" s="100">
        <f t="shared" ref="O318:O369" si="3">L318*M318</f>
        <v>0</v>
      </c>
      <c r="P318" s="101"/>
      <c r="Q318" s="278"/>
      <c r="R318" s="279"/>
    </row>
    <row r="319" spans="1:18" ht="18" customHeight="1">
      <c r="A319" s="159">
        <v>0</v>
      </c>
      <c r="B319" s="160"/>
      <c r="C319" s="274"/>
      <c r="D319" s="274"/>
      <c r="E319" s="275"/>
      <c r="F319" s="265" t="s">
        <v>615</v>
      </c>
      <c r="G319" s="160"/>
      <c r="H319" s="276"/>
      <c r="I319" s="276"/>
      <c r="J319" s="276"/>
      <c r="K319" s="276"/>
      <c r="L319" s="157">
        <v>2000</v>
      </c>
      <c r="M319" s="250"/>
      <c r="N319" s="277"/>
      <c r="O319" s="100">
        <f t="shared" si="3"/>
        <v>0</v>
      </c>
      <c r="P319" s="101"/>
      <c r="Q319" s="278"/>
      <c r="R319" s="279"/>
    </row>
    <row r="320" spans="1:18" ht="18" customHeight="1">
      <c r="A320" s="159">
        <v>0</v>
      </c>
      <c r="B320" s="160"/>
      <c r="C320" s="274"/>
      <c r="D320" s="274"/>
      <c r="E320" s="275"/>
      <c r="F320" s="265" t="s">
        <v>378</v>
      </c>
      <c r="G320" s="160"/>
      <c r="H320" s="276"/>
      <c r="I320" s="276"/>
      <c r="J320" s="276"/>
      <c r="K320" s="276"/>
      <c r="L320" s="157">
        <v>6900</v>
      </c>
      <c r="M320" s="250"/>
      <c r="N320" s="277"/>
      <c r="O320" s="100">
        <f t="shared" si="3"/>
        <v>0</v>
      </c>
      <c r="P320" s="101"/>
      <c r="Q320" s="278"/>
      <c r="R320" s="279"/>
    </row>
    <row r="321" spans="1:18" ht="18" customHeight="1">
      <c r="A321" s="159">
        <v>0</v>
      </c>
      <c r="B321" s="160"/>
      <c r="C321" s="274"/>
      <c r="D321" s="274"/>
      <c r="E321" s="275"/>
      <c r="F321" s="265" t="s">
        <v>381</v>
      </c>
      <c r="G321" s="160"/>
      <c r="H321" s="276"/>
      <c r="I321" s="276"/>
      <c r="J321" s="276"/>
      <c r="K321" s="276"/>
      <c r="L321" s="157">
        <v>3000</v>
      </c>
      <c r="M321" s="250"/>
      <c r="N321" s="277"/>
      <c r="O321" s="100">
        <f t="shared" si="3"/>
        <v>0</v>
      </c>
      <c r="P321" s="101"/>
      <c r="Q321" s="278"/>
      <c r="R321" s="279"/>
    </row>
    <row r="322" spans="1:18" ht="18" customHeight="1">
      <c r="A322" s="159">
        <v>0</v>
      </c>
      <c r="B322" s="160"/>
      <c r="C322" s="274"/>
      <c r="D322" s="274"/>
      <c r="E322" s="275"/>
      <c r="F322" s="265" t="s">
        <v>115</v>
      </c>
      <c r="G322" s="160"/>
      <c r="H322" s="276"/>
      <c r="I322" s="276"/>
      <c r="J322" s="276"/>
      <c r="K322" s="276"/>
      <c r="L322" s="157">
        <v>300</v>
      </c>
      <c r="M322" s="250"/>
      <c r="N322" s="277"/>
      <c r="O322" s="100">
        <f t="shared" si="3"/>
        <v>0</v>
      </c>
      <c r="P322" s="101"/>
      <c r="Q322" s="278"/>
      <c r="R322" s="279"/>
    </row>
    <row r="323" spans="1:18" ht="18" customHeight="1">
      <c r="A323" s="159">
        <v>0</v>
      </c>
      <c r="B323" s="160"/>
      <c r="C323" s="274"/>
      <c r="D323" s="274"/>
      <c r="E323" s="275"/>
      <c r="F323" s="265" t="s">
        <v>382</v>
      </c>
      <c r="G323" s="160"/>
      <c r="H323" s="276"/>
      <c r="I323" s="276"/>
      <c r="J323" s="276"/>
      <c r="K323" s="276"/>
      <c r="L323" s="157">
        <v>1000</v>
      </c>
      <c r="M323" s="250"/>
      <c r="N323" s="277"/>
      <c r="O323" s="100">
        <f t="shared" si="3"/>
        <v>0</v>
      </c>
      <c r="P323" s="101"/>
      <c r="Q323" s="278"/>
      <c r="R323" s="279"/>
    </row>
    <row r="324" spans="1:18" ht="18" customHeight="1">
      <c r="A324" s="159">
        <v>0</v>
      </c>
      <c r="B324" s="160"/>
      <c r="C324" s="274"/>
      <c r="D324" s="274"/>
      <c r="E324" s="275"/>
      <c r="F324" s="265" t="s">
        <v>98</v>
      </c>
      <c r="G324" s="160"/>
      <c r="H324" s="276"/>
      <c r="I324" s="276"/>
      <c r="J324" s="276"/>
      <c r="K324" s="276"/>
      <c r="L324" s="157">
        <v>900</v>
      </c>
      <c r="M324" s="250"/>
      <c r="N324" s="277"/>
      <c r="O324" s="100">
        <f t="shared" si="3"/>
        <v>0</v>
      </c>
      <c r="P324" s="101"/>
      <c r="Q324" s="278"/>
      <c r="R324" s="279"/>
    </row>
    <row r="325" spans="1:18" ht="18" customHeight="1">
      <c r="A325" s="159">
        <v>0</v>
      </c>
      <c r="B325" s="160"/>
      <c r="C325" s="274"/>
      <c r="D325" s="274"/>
      <c r="E325" s="275"/>
      <c r="F325" s="265" t="s">
        <v>66</v>
      </c>
      <c r="G325" s="160"/>
      <c r="H325" s="276"/>
      <c r="I325" s="276"/>
      <c r="J325" s="276"/>
      <c r="K325" s="276"/>
      <c r="L325" s="157">
        <v>200</v>
      </c>
      <c r="M325" s="250"/>
      <c r="N325" s="277"/>
      <c r="O325" s="100">
        <f t="shared" si="3"/>
        <v>0</v>
      </c>
      <c r="P325" s="101"/>
      <c r="Q325" s="278"/>
      <c r="R325" s="279"/>
    </row>
    <row r="326" spans="1:18" ht="18" customHeight="1">
      <c r="A326" s="159">
        <v>0</v>
      </c>
      <c r="B326" s="160"/>
      <c r="C326" s="274"/>
      <c r="D326" s="274"/>
      <c r="E326" s="275"/>
      <c r="F326" s="265" t="s">
        <v>718</v>
      </c>
      <c r="G326" s="160"/>
      <c r="H326" s="276"/>
      <c r="I326" s="276"/>
      <c r="J326" s="276"/>
      <c r="K326" s="276"/>
      <c r="L326" s="157">
        <v>318</v>
      </c>
      <c r="M326" s="250"/>
      <c r="N326" s="277"/>
      <c r="O326" s="100">
        <f t="shared" si="3"/>
        <v>0</v>
      </c>
      <c r="P326" s="101"/>
      <c r="Q326" s="278"/>
      <c r="R326" s="279"/>
    </row>
    <row r="327" spans="1:18" ht="18" customHeight="1">
      <c r="A327" s="159">
        <v>0</v>
      </c>
      <c r="B327" s="160"/>
      <c r="C327" s="274"/>
      <c r="D327" s="274"/>
      <c r="E327" s="275"/>
      <c r="F327" s="265" t="s">
        <v>719</v>
      </c>
      <c r="G327" s="160"/>
      <c r="H327" s="276"/>
      <c r="I327" s="276"/>
      <c r="J327" s="276"/>
      <c r="K327" s="276"/>
      <c r="L327" s="157">
        <v>400</v>
      </c>
      <c r="M327" s="250"/>
      <c r="N327" s="277"/>
      <c r="O327" s="100">
        <f t="shared" si="3"/>
        <v>0</v>
      </c>
      <c r="P327" s="101"/>
      <c r="Q327" s="278"/>
      <c r="R327" s="279"/>
    </row>
    <row r="328" spans="1:18" ht="18" customHeight="1">
      <c r="A328" s="159">
        <v>0</v>
      </c>
      <c r="B328" s="160"/>
      <c r="C328" s="274"/>
      <c r="D328" s="274"/>
      <c r="E328" s="275"/>
      <c r="F328" s="265" t="s">
        <v>84</v>
      </c>
      <c r="G328" s="160"/>
      <c r="H328" s="276"/>
      <c r="I328" s="276"/>
      <c r="J328" s="276"/>
      <c r="K328" s="276"/>
      <c r="L328" s="157">
        <v>34000</v>
      </c>
      <c r="M328" s="250"/>
      <c r="N328" s="277"/>
      <c r="O328" s="100">
        <f t="shared" si="3"/>
        <v>0</v>
      </c>
      <c r="P328" s="101"/>
      <c r="Q328" s="278"/>
      <c r="R328" s="279"/>
    </row>
    <row r="329" spans="1:18" ht="18" customHeight="1">
      <c r="A329" s="159">
        <v>0</v>
      </c>
      <c r="B329" s="160"/>
      <c r="C329" s="274"/>
      <c r="D329" s="274"/>
      <c r="E329" s="275"/>
      <c r="F329" s="265" t="s">
        <v>116</v>
      </c>
      <c r="G329" s="160"/>
      <c r="H329" s="276"/>
      <c r="I329" s="276"/>
      <c r="J329" s="276"/>
      <c r="K329" s="276"/>
      <c r="L329" s="157">
        <v>22000</v>
      </c>
      <c r="M329" s="250"/>
      <c r="N329" s="277"/>
      <c r="O329" s="100">
        <f t="shared" si="3"/>
        <v>0</v>
      </c>
      <c r="P329" s="101"/>
      <c r="Q329" s="278"/>
      <c r="R329" s="279"/>
    </row>
    <row r="330" spans="1:18" ht="18" customHeight="1">
      <c r="A330" s="159">
        <v>0</v>
      </c>
      <c r="B330" s="160"/>
      <c r="C330" s="274"/>
      <c r="D330" s="274"/>
      <c r="E330" s="275"/>
      <c r="F330" s="265" t="s">
        <v>637</v>
      </c>
      <c r="G330" s="160"/>
      <c r="H330" s="276"/>
      <c r="I330" s="276"/>
      <c r="J330" s="276"/>
      <c r="K330" s="276"/>
      <c r="L330" s="157">
        <v>2500</v>
      </c>
      <c r="M330" s="250"/>
      <c r="N330" s="277"/>
      <c r="O330" s="100">
        <f t="shared" si="3"/>
        <v>0</v>
      </c>
      <c r="P330" s="101"/>
      <c r="Q330" s="278"/>
      <c r="R330" s="279"/>
    </row>
    <row r="331" spans="1:18" ht="18" customHeight="1">
      <c r="A331" s="159">
        <v>0</v>
      </c>
      <c r="B331" s="160"/>
      <c r="C331" s="274"/>
      <c r="D331" s="274"/>
      <c r="E331" s="275"/>
      <c r="F331" s="265" t="s">
        <v>683</v>
      </c>
      <c r="G331" s="160"/>
      <c r="H331" s="276"/>
      <c r="I331" s="276"/>
      <c r="J331" s="276"/>
      <c r="K331" s="276"/>
      <c r="L331" s="157">
        <v>672</v>
      </c>
      <c r="M331" s="250"/>
      <c r="N331" s="277"/>
      <c r="O331" s="100">
        <f t="shared" si="3"/>
        <v>0</v>
      </c>
      <c r="P331" s="101"/>
      <c r="Q331" s="278"/>
      <c r="R331" s="279"/>
    </row>
    <row r="332" spans="1:18" ht="18" customHeight="1">
      <c r="A332" s="159">
        <v>0</v>
      </c>
      <c r="B332" s="160"/>
      <c r="C332" s="274"/>
      <c r="D332" s="274"/>
      <c r="E332" s="275"/>
      <c r="F332" s="265" t="s">
        <v>97</v>
      </c>
      <c r="G332" s="160"/>
      <c r="H332" s="276"/>
      <c r="I332" s="276"/>
      <c r="J332" s="276"/>
      <c r="K332" s="276"/>
      <c r="L332" s="157">
        <v>200</v>
      </c>
      <c r="M332" s="250"/>
      <c r="N332" s="277"/>
      <c r="O332" s="100">
        <f t="shared" si="3"/>
        <v>0</v>
      </c>
      <c r="P332" s="101"/>
      <c r="Q332" s="278"/>
      <c r="R332" s="279"/>
    </row>
    <row r="333" spans="1:18" ht="18" customHeight="1">
      <c r="A333" s="159">
        <v>0</v>
      </c>
      <c r="B333" s="160"/>
      <c r="C333" s="274"/>
      <c r="D333" s="274"/>
      <c r="E333" s="275"/>
      <c r="F333" s="265" t="s">
        <v>108</v>
      </c>
      <c r="G333" s="160"/>
      <c r="H333" s="276"/>
      <c r="I333" s="276"/>
      <c r="J333" s="276"/>
      <c r="K333" s="276"/>
      <c r="L333" s="157">
        <v>200</v>
      </c>
      <c r="M333" s="250"/>
      <c r="N333" s="277"/>
      <c r="O333" s="100">
        <f t="shared" si="3"/>
        <v>0</v>
      </c>
      <c r="P333" s="101"/>
      <c r="Q333" s="278"/>
      <c r="R333" s="279"/>
    </row>
    <row r="334" spans="1:18" ht="18" customHeight="1">
      <c r="A334" s="159">
        <v>0</v>
      </c>
      <c r="B334" s="160"/>
      <c r="C334" s="274"/>
      <c r="D334" s="274"/>
      <c r="E334" s="275"/>
      <c r="F334" s="265" t="s">
        <v>110</v>
      </c>
      <c r="G334" s="160"/>
      <c r="H334" s="276"/>
      <c r="I334" s="276"/>
      <c r="J334" s="276"/>
      <c r="K334" s="276"/>
      <c r="L334" s="157">
        <v>100</v>
      </c>
      <c r="M334" s="250"/>
      <c r="N334" s="277"/>
      <c r="O334" s="100">
        <f t="shared" si="3"/>
        <v>0</v>
      </c>
      <c r="P334" s="101"/>
      <c r="Q334" s="278"/>
      <c r="R334" s="279"/>
    </row>
    <row r="335" spans="1:18" ht="18" customHeight="1">
      <c r="A335" s="159">
        <v>0</v>
      </c>
      <c r="B335" s="160"/>
      <c r="C335" s="274"/>
      <c r="D335" s="274"/>
      <c r="E335" s="275"/>
      <c r="F335" s="265" t="s">
        <v>364</v>
      </c>
      <c r="G335" s="160"/>
      <c r="H335" s="276"/>
      <c r="I335" s="276"/>
      <c r="J335" s="276"/>
      <c r="K335" s="276"/>
      <c r="L335" s="157">
        <v>2500</v>
      </c>
      <c r="M335" s="250"/>
      <c r="N335" s="277"/>
      <c r="O335" s="100">
        <f t="shared" si="3"/>
        <v>0</v>
      </c>
      <c r="P335" s="101"/>
      <c r="Q335" s="278"/>
      <c r="R335" s="279"/>
    </row>
    <row r="336" spans="1:18" ht="18" customHeight="1">
      <c r="A336" s="159">
        <v>0</v>
      </c>
      <c r="B336" s="160"/>
      <c r="C336" s="274"/>
      <c r="D336" s="274"/>
      <c r="E336" s="275"/>
      <c r="F336" s="265" t="s">
        <v>714</v>
      </c>
      <c r="G336" s="160"/>
      <c r="H336" s="276"/>
      <c r="I336" s="276"/>
      <c r="J336" s="276"/>
      <c r="K336" s="276"/>
      <c r="L336" s="157">
        <v>300</v>
      </c>
      <c r="M336" s="250"/>
      <c r="N336" s="277"/>
      <c r="O336" s="100">
        <f t="shared" si="3"/>
        <v>0</v>
      </c>
      <c r="P336" s="101"/>
      <c r="Q336" s="278"/>
      <c r="R336" s="279"/>
    </row>
    <row r="337" spans="1:18" ht="18" customHeight="1">
      <c r="A337" s="159">
        <v>0</v>
      </c>
      <c r="B337" s="160"/>
      <c r="C337" s="274"/>
      <c r="D337" s="274"/>
      <c r="E337" s="275"/>
      <c r="F337" s="265" t="s">
        <v>177</v>
      </c>
      <c r="G337" s="160"/>
      <c r="H337" s="276"/>
      <c r="I337" s="276"/>
      <c r="J337" s="276"/>
      <c r="K337" s="276"/>
      <c r="L337" s="157">
        <v>2018</v>
      </c>
      <c r="M337" s="250"/>
      <c r="N337" s="277"/>
      <c r="O337" s="100">
        <f t="shared" si="3"/>
        <v>0</v>
      </c>
      <c r="P337" s="101"/>
      <c r="Q337" s="278"/>
      <c r="R337" s="279"/>
    </row>
    <row r="338" spans="1:18" ht="18" customHeight="1">
      <c r="A338" s="159">
        <v>0</v>
      </c>
      <c r="B338" s="160"/>
      <c r="C338" s="274"/>
      <c r="D338" s="274"/>
      <c r="E338" s="275"/>
      <c r="F338" s="265" t="s">
        <v>226</v>
      </c>
      <c r="G338" s="160"/>
      <c r="H338" s="276"/>
      <c r="I338" s="276"/>
      <c r="J338" s="276"/>
      <c r="K338" s="276"/>
      <c r="L338" s="157">
        <v>7000</v>
      </c>
      <c r="M338" s="250"/>
      <c r="N338" s="277"/>
      <c r="O338" s="100">
        <f t="shared" si="3"/>
        <v>0</v>
      </c>
      <c r="P338" s="101"/>
      <c r="Q338" s="278"/>
      <c r="R338" s="279"/>
    </row>
    <row r="339" spans="1:18" ht="18" customHeight="1">
      <c r="A339" s="159">
        <v>0</v>
      </c>
      <c r="B339" s="160"/>
      <c r="C339" s="274"/>
      <c r="D339" s="274"/>
      <c r="E339" s="275"/>
      <c r="F339" s="265" t="s">
        <v>228</v>
      </c>
      <c r="G339" s="160"/>
      <c r="H339" s="276"/>
      <c r="I339" s="276"/>
      <c r="J339" s="276"/>
      <c r="K339" s="276"/>
      <c r="L339" s="157">
        <v>440000</v>
      </c>
      <c r="M339" s="250"/>
      <c r="N339" s="277"/>
      <c r="O339" s="100">
        <f t="shared" si="3"/>
        <v>0</v>
      </c>
      <c r="P339" s="101"/>
      <c r="Q339" s="278"/>
      <c r="R339" s="279"/>
    </row>
    <row r="340" spans="1:18" ht="18" customHeight="1">
      <c r="A340" s="159">
        <v>0</v>
      </c>
      <c r="B340" s="160"/>
      <c r="C340" s="274"/>
      <c r="D340" s="274"/>
      <c r="E340" s="275"/>
      <c r="F340" s="265" t="s">
        <v>349</v>
      </c>
      <c r="G340" s="160"/>
      <c r="H340" s="276"/>
      <c r="I340" s="276"/>
      <c r="J340" s="276"/>
      <c r="K340" s="276"/>
      <c r="L340" s="157">
        <v>5000</v>
      </c>
      <c r="M340" s="250"/>
      <c r="N340" s="277"/>
      <c r="O340" s="100">
        <f t="shared" si="3"/>
        <v>0</v>
      </c>
      <c r="P340" s="101"/>
      <c r="Q340" s="278"/>
      <c r="R340" s="279"/>
    </row>
    <row r="341" spans="1:18" ht="18" customHeight="1">
      <c r="A341" s="159">
        <v>0</v>
      </c>
      <c r="B341" s="160"/>
      <c r="C341" s="274"/>
      <c r="D341" s="274"/>
      <c r="E341" s="275"/>
      <c r="F341" s="265" t="s">
        <v>227</v>
      </c>
      <c r="G341" s="160"/>
      <c r="H341" s="276"/>
      <c r="I341" s="276"/>
      <c r="J341" s="276"/>
      <c r="K341" s="276"/>
      <c r="L341" s="157">
        <v>39000</v>
      </c>
      <c r="M341" s="250"/>
      <c r="N341" s="277"/>
      <c r="O341" s="100">
        <f t="shared" si="3"/>
        <v>0</v>
      </c>
      <c r="P341" s="101"/>
      <c r="Q341" s="278"/>
      <c r="R341" s="279"/>
    </row>
    <row r="342" spans="1:18" ht="18" customHeight="1">
      <c r="A342" s="159">
        <v>0</v>
      </c>
      <c r="B342" s="160"/>
      <c r="C342" s="274"/>
      <c r="D342" s="274"/>
      <c r="E342" s="275"/>
      <c r="F342" s="265" t="s">
        <v>230</v>
      </c>
      <c r="G342" s="160"/>
      <c r="H342" s="276"/>
      <c r="I342" s="276"/>
      <c r="J342" s="276"/>
      <c r="K342" s="276"/>
      <c r="L342" s="157">
        <v>8000</v>
      </c>
      <c r="M342" s="250"/>
      <c r="N342" s="277"/>
      <c r="O342" s="100">
        <f t="shared" si="3"/>
        <v>0</v>
      </c>
      <c r="P342" s="101"/>
      <c r="Q342" s="278"/>
      <c r="R342" s="279"/>
    </row>
    <row r="343" spans="1:18" ht="18" customHeight="1">
      <c r="A343" s="159">
        <v>0</v>
      </c>
      <c r="B343" s="160"/>
      <c r="C343" s="274"/>
      <c r="D343" s="274"/>
      <c r="E343" s="275"/>
      <c r="F343" s="265" t="s">
        <v>231</v>
      </c>
      <c r="G343" s="160"/>
      <c r="H343" s="276"/>
      <c r="I343" s="276"/>
      <c r="J343" s="276"/>
      <c r="K343" s="276"/>
      <c r="L343" s="157">
        <v>7000</v>
      </c>
      <c r="M343" s="250"/>
      <c r="N343" s="277"/>
      <c r="O343" s="100">
        <f t="shared" si="3"/>
        <v>0</v>
      </c>
      <c r="P343" s="101"/>
      <c r="Q343" s="278"/>
      <c r="R343" s="279"/>
    </row>
    <row r="344" spans="1:18" ht="18" customHeight="1">
      <c r="A344" s="159">
        <v>0</v>
      </c>
      <c r="B344" s="160"/>
      <c r="C344" s="274"/>
      <c r="D344" s="274"/>
      <c r="E344" s="275"/>
      <c r="F344" s="265" t="s">
        <v>229</v>
      </c>
      <c r="G344" s="160"/>
      <c r="H344" s="276"/>
      <c r="I344" s="276"/>
      <c r="J344" s="276"/>
      <c r="K344" s="276"/>
      <c r="L344" s="157">
        <v>42000</v>
      </c>
      <c r="M344" s="250"/>
      <c r="N344" s="277"/>
      <c r="O344" s="100">
        <f t="shared" si="3"/>
        <v>0</v>
      </c>
      <c r="P344" s="101"/>
      <c r="Q344" s="278"/>
      <c r="R344" s="279"/>
    </row>
    <row r="345" spans="1:18" ht="18" customHeight="1">
      <c r="A345" s="159">
        <v>0</v>
      </c>
      <c r="B345" s="160"/>
      <c r="C345" s="274"/>
      <c r="D345" s="274"/>
      <c r="E345" s="275"/>
      <c r="F345" s="265" t="s">
        <v>907</v>
      </c>
      <c r="G345" s="160"/>
      <c r="H345" s="276"/>
      <c r="I345" s="276"/>
      <c r="J345" s="276"/>
      <c r="K345" s="276"/>
      <c r="L345" s="157">
        <v>67000</v>
      </c>
      <c r="M345" s="250"/>
      <c r="N345" s="277"/>
      <c r="O345" s="100">
        <f t="shared" si="3"/>
        <v>0</v>
      </c>
      <c r="P345" s="101"/>
      <c r="Q345" s="278"/>
      <c r="R345" s="279"/>
    </row>
    <row r="346" spans="1:18" ht="18" customHeight="1">
      <c r="A346" s="159">
        <v>0</v>
      </c>
      <c r="B346" s="160"/>
      <c r="C346" s="274"/>
      <c r="D346" s="274"/>
      <c r="E346" s="275"/>
      <c r="F346" s="265" t="s">
        <v>237</v>
      </c>
      <c r="G346" s="160"/>
      <c r="H346" s="276"/>
      <c r="I346" s="276"/>
      <c r="J346" s="276"/>
      <c r="K346" s="276"/>
      <c r="L346" s="157">
        <v>21000</v>
      </c>
      <c r="M346" s="250"/>
      <c r="N346" s="277"/>
      <c r="O346" s="100">
        <f t="shared" si="3"/>
        <v>0</v>
      </c>
      <c r="P346" s="101"/>
      <c r="Q346" s="278"/>
      <c r="R346" s="279"/>
    </row>
    <row r="347" spans="1:18" ht="18" customHeight="1">
      <c r="A347" s="159">
        <v>0</v>
      </c>
      <c r="B347" s="160"/>
      <c r="C347" s="274"/>
      <c r="D347" s="274"/>
      <c r="E347" s="275"/>
      <c r="F347" s="265" t="s">
        <v>414</v>
      </c>
      <c r="G347" s="160"/>
      <c r="H347" s="276"/>
      <c r="I347" s="276"/>
      <c r="J347" s="276"/>
      <c r="K347" s="276"/>
      <c r="L347" s="157">
        <v>7000</v>
      </c>
      <c r="M347" s="250"/>
      <c r="N347" s="277"/>
      <c r="O347" s="100">
        <f t="shared" si="3"/>
        <v>0</v>
      </c>
      <c r="P347" s="101"/>
      <c r="Q347" s="278"/>
      <c r="R347" s="279"/>
    </row>
    <row r="348" spans="1:18" ht="18" customHeight="1">
      <c r="A348" s="159">
        <v>0</v>
      </c>
      <c r="B348" s="160"/>
      <c r="C348" s="274"/>
      <c r="D348" s="274"/>
      <c r="E348" s="275"/>
      <c r="F348" s="265" t="s">
        <v>561</v>
      </c>
      <c r="G348" s="160"/>
      <c r="H348" s="276"/>
      <c r="I348" s="276"/>
      <c r="J348" s="276"/>
      <c r="K348" s="276"/>
      <c r="L348" s="157">
        <v>4000</v>
      </c>
      <c r="M348" s="250"/>
      <c r="N348" s="277"/>
      <c r="O348" s="100">
        <f t="shared" si="3"/>
        <v>0</v>
      </c>
      <c r="P348" s="101"/>
      <c r="Q348" s="278"/>
      <c r="R348" s="279"/>
    </row>
    <row r="349" spans="1:18" ht="18" customHeight="1">
      <c r="A349" s="159">
        <v>0</v>
      </c>
      <c r="B349" s="160"/>
      <c r="C349" s="274"/>
      <c r="D349" s="274"/>
      <c r="E349" s="275"/>
      <c r="F349" s="265" t="s">
        <v>232</v>
      </c>
      <c r="G349" s="160"/>
      <c r="H349" s="276"/>
      <c r="I349" s="276"/>
      <c r="J349" s="276"/>
      <c r="K349" s="276"/>
      <c r="L349" s="157">
        <v>40000</v>
      </c>
      <c r="M349" s="250"/>
      <c r="N349" s="277"/>
      <c r="O349" s="100">
        <f t="shared" si="3"/>
        <v>0</v>
      </c>
      <c r="P349" s="101"/>
      <c r="Q349" s="278"/>
      <c r="R349" s="279"/>
    </row>
    <row r="350" spans="1:18" ht="18" customHeight="1">
      <c r="A350" s="159">
        <v>0</v>
      </c>
      <c r="B350" s="160"/>
      <c r="C350" s="274"/>
      <c r="D350" s="274"/>
      <c r="E350" s="275"/>
      <c r="F350" s="265" t="s">
        <v>413</v>
      </c>
      <c r="G350" s="160"/>
      <c r="H350" s="276"/>
      <c r="I350" s="276"/>
      <c r="J350" s="276"/>
      <c r="K350" s="276"/>
      <c r="L350" s="157">
        <v>26000</v>
      </c>
      <c r="M350" s="250"/>
      <c r="N350" s="277"/>
      <c r="O350" s="100">
        <f t="shared" si="3"/>
        <v>0</v>
      </c>
      <c r="P350" s="101"/>
      <c r="Q350" s="278"/>
      <c r="R350" s="279"/>
    </row>
    <row r="351" spans="1:18" ht="18" customHeight="1">
      <c r="A351" s="159">
        <v>0</v>
      </c>
      <c r="B351" s="160"/>
      <c r="C351" s="274"/>
      <c r="D351" s="274"/>
      <c r="E351" s="275"/>
      <c r="F351" s="265" t="s">
        <v>233</v>
      </c>
      <c r="G351" s="160"/>
      <c r="H351" s="276"/>
      <c r="I351" s="276"/>
      <c r="J351" s="276"/>
      <c r="K351" s="276"/>
      <c r="L351" s="157">
        <v>5000</v>
      </c>
      <c r="M351" s="250"/>
      <c r="N351" s="277"/>
      <c r="O351" s="100">
        <f t="shared" si="3"/>
        <v>0</v>
      </c>
      <c r="P351" s="101"/>
      <c r="Q351" s="278"/>
      <c r="R351" s="279"/>
    </row>
    <row r="352" spans="1:18" ht="18" customHeight="1">
      <c r="A352" s="159">
        <v>0</v>
      </c>
      <c r="B352" s="160"/>
      <c r="C352" s="274"/>
      <c r="D352" s="274"/>
      <c r="E352" s="275"/>
      <c r="F352" s="265" t="s">
        <v>571</v>
      </c>
      <c r="G352" s="160"/>
      <c r="H352" s="276"/>
      <c r="I352" s="276"/>
      <c r="J352" s="276"/>
      <c r="K352" s="276"/>
      <c r="L352" s="157">
        <v>2000</v>
      </c>
      <c r="M352" s="250"/>
      <c r="N352" s="277"/>
      <c r="O352" s="100">
        <f t="shared" si="3"/>
        <v>0</v>
      </c>
      <c r="P352" s="101"/>
      <c r="Q352" s="278"/>
      <c r="R352" s="279"/>
    </row>
    <row r="353" spans="1:18" ht="18" customHeight="1">
      <c r="A353" s="159">
        <v>0</v>
      </c>
      <c r="B353" s="160"/>
      <c r="C353" s="274"/>
      <c r="D353" s="274"/>
      <c r="E353" s="275"/>
      <c r="F353" s="265" t="s">
        <v>572</v>
      </c>
      <c r="G353" s="160"/>
      <c r="H353" s="276"/>
      <c r="I353" s="276"/>
      <c r="J353" s="276"/>
      <c r="K353" s="276"/>
      <c r="L353" s="157">
        <v>2000</v>
      </c>
      <c r="M353" s="250"/>
      <c r="N353" s="277"/>
      <c r="O353" s="100">
        <f t="shared" si="3"/>
        <v>0</v>
      </c>
      <c r="P353" s="101"/>
      <c r="Q353" s="278"/>
      <c r="R353" s="279"/>
    </row>
    <row r="354" spans="1:18" ht="18" customHeight="1">
      <c r="A354" s="159">
        <v>0</v>
      </c>
      <c r="B354" s="160"/>
      <c r="C354" s="274"/>
      <c r="D354" s="274"/>
      <c r="E354" s="275"/>
      <c r="F354" s="265" t="s">
        <v>577</v>
      </c>
      <c r="G354" s="160"/>
      <c r="H354" s="276"/>
      <c r="I354" s="276"/>
      <c r="J354" s="276"/>
      <c r="K354" s="276"/>
      <c r="L354" s="157">
        <v>8000</v>
      </c>
      <c r="M354" s="250"/>
      <c r="N354" s="277"/>
      <c r="O354" s="100">
        <f t="shared" si="3"/>
        <v>0</v>
      </c>
      <c r="P354" s="101"/>
      <c r="Q354" s="278"/>
      <c r="R354" s="279"/>
    </row>
    <row r="355" spans="1:18" ht="18" customHeight="1">
      <c r="A355" s="159">
        <v>0</v>
      </c>
      <c r="B355" s="160"/>
      <c r="C355" s="274"/>
      <c r="D355" s="274"/>
      <c r="E355" s="275"/>
      <c r="F355" s="265" t="s">
        <v>234</v>
      </c>
      <c r="G355" s="160"/>
      <c r="H355" s="276"/>
      <c r="I355" s="276"/>
      <c r="J355" s="276"/>
      <c r="K355" s="276"/>
      <c r="L355" s="157">
        <v>1000</v>
      </c>
      <c r="M355" s="250"/>
      <c r="N355" s="277"/>
      <c r="O355" s="100">
        <f t="shared" si="3"/>
        <v>0</v>
      </c>
      <c r="P355" s="101"/>
      <c r="Q355" s="278"/>
      <c r="R355" s="279"/>
    </row>
    <row r="356" spans="1:18" ht="18" customHeight="1">
      <c r="A356" s="159">
        <v>0</v>
      </c>
      <c r="B356" s="160"/>
      <c r="C356" s="274"/>
      <c r="D356" s="274"/>
      <c r="E356" s="275"/>
      <c r="F356" s="265" t="s">
        <v>235</v>
      </c>
      <c r="G356" s="160"/>
      <c r="H356" s="276"/>
      <c r="I356" s="276"/>
      <c r="J356" s="276"/>
      <c r="K356" s="276"/>
      <c r="L356" s="157">
        <v>18000</v>
      </c>
      <c r="M356" s="250"/>
      <c r="N356" s="277"/>
      <c r="O356" s="100">
        <f t="shared" si="3"/>
        <v>0</v>
      </c>
      <c r="P356" s="101"/>
      <c r="Q356" s="278"/>
      <c r="R356" s="279"/>
    </row>
    <row r="357" spans="1:18" ht="18" customHeight="1">
      <c r="A357" s="159">
        <v>0</v>
      </c>
      <c r="B357" s="160"/>
      <c r="C357" s="274"/>
      <c r="D357" s="274"/>
      <c r="E357" s="275"/>
      <c r="F357" s="265" t="s">
        <v>340</v>
      </c>
      <c r="G357" s="160"/>
      <c r="H357" s="276"/>
      <c r="I357" s="276"/>
      <c r="J357" s="276"/>
      <c r="K357" s="276"/>
      <c r="L357" s="157">
        <v>3749</v>
      </c>
      <c r="M357" s="250"/>
      <c r="N357" s="277"/>
      <c r="O357" s="100">
        <f t="shared" si="3"/>
        <v>0</v>
      </c>
      <c r="P357" s="101"/>
      <c r="Q357" s="278"/>
      <c r="R357" s="279"/>
    </row>
    <row r="358" spans="1:18" ht="18" customHeight="1">
      <c r="A358" s="159">
        <v>0</v>
      </c>
      <c r="B358" s="160"/>
      <c r="C358" s="274"/>
      <c r="D358" s="274"/>
      <c r="E358" s="275"/>
      <c r="F358" s="265" t="s">
        <v>236</v>
      </c>
      <c r="G358" s="160"/>
      <c r="H358" s="276"/>
      <c r="I358" s="276"/>
      <c r="J358" s="276"/>
      <c r="K358" s="276"/>
      <c r="L358" s="157">
        <v>2000</v>
      </c>
      <c r="M358" s="250"/>
      <c r="N358" s="277"/>
      <c r="O358" s="100">
        <f t="shared" si="3"/>
        <v>0</v>
      </c>
      <c r="P358" s="101"/>
      <c r="Q358" s="278"/>
      <c r="R358" s="279"/>
    </row>
    <row r="359" spans="1:18" ht="18" customHeight="1">
      <c r="A359" s="159">
        <v>0</v>
      </c>
      <c r="B359" s="160"/>
      <c r="C359" s="274"/>
      <c r="D359" s="274"/>
      <c r="E359" s="275"/>
      <c r="F359" s="265" t="s">
        <v>553</v>
      </c>
      <c r="G359" s="160"/>
      <c r="H359" s="276"/>
      <c r="I359" s="276"/>
      <c r="J359" s="276"/>
      <c r="K359" s="276"/>
      <c r="L359" s="157">
        <v>4035</v>
      </c>
      <c r="M359" s="250"/>
      <c r="N359" s="277"/>
      <c r="O359" s="100">
        <f t="shared" si="3"/>
        <v>0</v>
      </c>
      <c r="P359" s="101"/>
      <c r="Q359" s="278"/>
      <c r="R359" s="279"/>
    </row>
    <row r="360" spans="1:18" ht="18" customHeight="1">
      <c r="A360" s="159">
        <v>0</v>
      </c>
      <c r="B360" s="160"/>
      <c r="C360" s="227"/>
      <c r="D360" s="227"/>
      <c r="E360" s="228"/>
      <c r="F360" s="265" t="s">
        <v>240</v>
      </c>
      <c r="G360" s="160"/>
      <c r="H360" s="229"/>
      <c r="I360" s="229"/>
      <c r="J360" s="229"/>
      <c r="K360" s="229"/>
      <c r="L360" s="157">
        <v>33978</v>
      </c>
      <c r="M360" s="250"/>
      <c r="N360" s="230"/>
      <c r="O360" s="100">
        <f t="shared" si="3"/>
        <v>0</v>
      </c>
      <c r="P360" s="101"/>
      <c r="Q360" s="241"/>
      <c r="R360" s="233"/>
    </row>
    <row r="361" spans="1:18" ht="18" customHeight="1">
      <c r="A361" s="159">
        <v>0</v>
      </c>
      <c r="B361" s="160"/>
      <c r="C361" s="227"/>
      <c r="D361" s="227"/>
      <c r="E361" s="228"/>
      <c r="F361" s="265" t="s">
        <v>241</v>
      </c>
      <c r="G361" s="160"/>
      <c r="H361" s="229"/>
      <c r="I361" s="229"/>
      <c r="J361" s="229"/>
      <c r="K361" s="229"/>
      <c r="L361" s="157">
        <v>950</v>
      </c>
      <c r="M361" s="250"/>
      <c r="N361" s="230"/>
      <c r="O361" s="100">
        <f t="shared" si="3"/>
        <v>0</v>
      </c>
      <c r="P361" s="101"/>
      <c r="Q361" s="241"/>
      <c r="R361" s="233"/>
    </row>
    <row r="362" spans="1:18" ht="18" customHeight="1">
      <c r="A362" s="159">
        <v>0</v>
      </c>
      <c r="B362" s="160"/>
      <c r="C362" s="227"/>
      <c r="D362" s="227"/>
      <c r="E362" s="228"/>
      <c r="F362" s="265" t="s">
        <v>558</v>
      </c>
      <c r="G362" s="160"/>
      <c r="H362" s="229"/>
      <c r="I362" s="229"/>
      <c r="J362" s="229"/>
      <c r="K362" s="229"/>
      <c r="L362" s="157">
        <v>10000</v>
      </c>
      <c r="M362" s="250"/>
      <c r="N362" s="230"/>
      <c r="O362" s="100">
        <f t="shared" si="3"/>
        <v>0</v>
      </c>
      <c r="P362" s="101"/>
      <c r="Q362" s="241"/>
      <c r="R362" s="233"/>
    </row>
    <row r="363" spans="1:18" ht="18" customHeight="1">
      <c r="A363" s="159">
        <v>0</v>
      </c>
      <c r="B363" s="160"/>
      <c r="C363" s="227"/>
      <c r="D363" s="227"/>
      <c r="E363" s="228"/>
      <c r="F363" s="265" t="s">
        <v>559</v>
      </c>
      <c r="G363" s="160"/>
      <c r="H363" s="229"/>
      <c r="I363" s="229"/>
      <c r="J363" s="229"/>
      <c r="K363" s="229"/>
      <c r="L363" s="157">
        <v>18000</v>
      </c>
      <c r="M363" s="250"/>
      <c r="N363" s="230"/>
      <c r="O363" s="100">
        <f t="shared" si="3"/>
        <v>0</v>
      </c>
      <c r="P363" s="101"/>
      <c r="Q363" s="241"/>
      <c r="R363" s="233"/>
    </row>
    <row r="364" spans="1:18" ht="18" customHeight="1">
      <c r="A364" s="159">
        <v>0</v>
      </c>
      <c r="B364" s="160"/>
      <c r="C364" s="227"/>
      <c r="D364" s="227"/>
      <c r="E364" s="228"/>
      <c r="F364" s="265" t="s">
        <v>670</v>
      </c>
      <c r="G364" s="160"/>
      <c r="H364" s="229"/>
      <c r="I364" s="229"/>
      <c r="J364" s="229"/>
      <c r="K364" s="229"/>
      <c r="L364" s="157">
        <v>24211</v>
      </c>
      <c r="M364" s="250"/>
      <c r="N364" s="230"/>
      <c r="O364" s="100">
        <f t="shared" si="3"/>
        <v>0</v>
      </c>
      <c r="P364" s="101"/>
      <c r="Q364" s="241"/>
      <c r="R364" s="233"/>
    </row>
    <row r="365" spans="1:18" ht="18" customHeight="1">
      <c r="A365" s="159">
        <v>0</v>
      </c>
      <c r="B365" s="160"/>
      <c r="C365" s="227"/>
      <c r="D365" s="227"/>
      <c r="E365" s="228"/>
      <c r="F365" s="265" t="s">
        <v>715</v>
      </c>
      <c r="G365" s="160"/>
      <c r="H365" s="229"/>
      <c r="I365" s="229"/>
      <c r="J365" s="229"/>
      <c r="K365" s="229"/>
      <c r="L365" s="157">
        <v>2460</v>
      </c>
      <c r="M365" s="250"/>
      <c r="N365" s="230"/>
      <c r="O365" s="100">
        <f t="shared" si="3"/>
        <v>0</v>
      </c>
      <c r="P365" s="101"/>
      <c r="Q365" s="241"/>
      <c r="R365" s="233"/>
    </row>
    <row r="366" spans="1:18" ht="18" customHeight="1">
      <c r="A366" s="159">
        <v>0</v>
      </c>
      <c r="B366" s="160"/>
      <c r="C366" s="227"/>
      <c r="D366" s="227"/>
      <c r="E366" s="228"/>
      <c r="F366" s="265" t="s">
        <v>725</v>
      </c>
      <c r="G366" s="160"/>
      <c r="H366" s="229"/>
      <c r="I366" s="229"/>
      <c r="J366" s="229"/>
      <c r="K366" s="229"/>
      <c r="L366" s="157">
        <v>29000</v>
      </c>
      <c r="M366" s="250"/>
      <c r="N366" s="230"/>
      <c r="O366" s="100">
        <f t="shared" si="3"/>
        <v>0</v>
      </c>
      <c r="P366" s="101"/>
      <c r="Q366" s="241"/>
      <c r="R366" s="233"/>
    </row>
    <row r="367" spans="1:18" ht="18" customHeight="1">
      <c r="A367" s="159">
        <v>0</v>
      </c>
      <c r="B367" s="160"/>
      <c r="C367" s="227"/>
      <c r="D367" s="227"/>
      <c r="E367" s="228"/>
      <c r="F367" s="265" t="s">
        <v>584</v>
      </c>
      <c r="G367" s="160"/>
      <c r="H367" s="229"/>
      <c r="I367" s="229"/>
      <c r="J367" s="229"/>
      <c r="K367" s="229"/>
      <c r="L367" s="157">
        <v>10000</v>
      </c>
      <c r="M367" s="250"/>
      <c r="N367" s="230"/>
      <c r="O367" s="100">
        <f t="shared" si="3"/>
        <v>0</v>
      </c>
      <c r="P367" s="101"/>
      <c r="Q367" s="241"/>
      <c r="R367" s="233"/>
    </row>
    <row r="368" spans="1:18" ht="18" customHeight="1">
      <c r="A368" s="159">
        <v>0</v>
      </c>
      <c r="B368" s="160"/>
      <c r="C368" s="227"/>
      <c r="D368" s="227"/>
      <c r="E368" s="228"/>
      <c r="F368" s="265" t="s">
        <v>725</v>
      </c>
      <c r="G368" s="160"/>
      <c r="H368" s="229"/>
      <c r="I368" s="229"/>
      <c r="J368" s="229"/>
      <c r="K368" s="229"/>
      <c r="L368" s="157">
        <v>1000</v>
      </c>
      <c r="M368" s="250"/>
      <c r="N368" s="230"/>
      <c r="O368" s="100">
        <f t="shared" si="3"/>
        <v>0</v>
      </c>
      <c r="P368" s="101"/>
      <c r="Q368" s="241"/>
      <c r="R368" s="233"/>
    </row>
    <row r="369" spans="1:18" ht="18" customHeight="1">
      <c r="A369" s="159">
        <v>0</v>
      </c>
      <c r="B369" s="160"/>
      <c r="C369" s="227"/>
      <c r="D369" s="227"/>
      <c r="E369" s="228"/>
      <c r="F369" s="265" t="s">
        <v>575</v>
      </c>
      <c r="G369" s="160"/>
      <c r="H369" s="229"/>
      <c r="I369" s="229"/>
      <c r="J369" s="229"/>
      <c r="K369" s="229"/>
      <c r="L369" s="157">
        <v>7000</v>
      </c>
      <c r="M369" s="250"/>
      <c r="N369" s="230"/>
      <c r="O369" s="100">
        <f t="shared" si="3"/>
        <v>0</v>
      </c>
      <c r="P369" s="101"/>
      <c r="Q369" s="241"/>
      <c r="R369" s="233"/>
    </row>
    <row r="370" spans="1:18" ht="18" customHeight="1">
      <c r="A370" s="159">
        <v>0</v>
      </c>
      <c r="B370" s="160"/>
      <c r="C370" s="227"/>
      <c r="D370" s="227"/>
      <c r="E370" s="228"/>
      <c r="F370" s="265" t="s">
        <v>658</v>
      </c>
      <c r="G370" s="160"/>
      <c r="H370" s="229"/>
      <c r="I370" s="229"/>
      <c r="J370" s="229"/>
      <c r="K370" s="229"/>
      <c r="L370" s="157">
        <v>1000</v>
      </c>
      <c r="M370" s="250"/>
      <c r="N370" s="230"/>
      <c r="O370" s="100">
        <f t="shared" si="1"/>
        <v>0</v>
      </c>
      <c r="P370" s="101"/>
      <c r="Q370" s="241"/>
      <c r="R370" s="233"/>
    </row>
    <row r="371" spans="1:18" ht="18" customHeight="1">
      <c r="A371" s="159">
        <v>0</v>
      </c>
      <c r="B371" s="160"/>
      <c r="C371" s="227"/>
      <c r="D371" s="227"/>
      <c r="E371" s="228"/>
      <c r="F371" s="265" t="s">
        <v>668</v>
      </c>
      <c r="G371" s="160"/>
      <c r="H371" s="229"/>
      <c r="I371" s="229"/>
      <c r="J371" s="229"/>
      <c r="K371" s="229"/>
      <c r="L371" s="157">
        <v>10000</v>
      </c>
      <c r="M371" s="250"/>
      <c r="N371" s="230"/>
      <c r="O371" s="100">
        <f t="shared" si="1"/>
        <v>0</v>
      </c>
      <c r="P371" s="101"/>
      <c r="Q371" s="241"/>
      <c r="R371" s="233"/>
    </row>
    <row r="372" spans="1:18" ht="18" customHeight="1">
      <c r="A372" s="159">
        <v>0</v>
      </c>
      <c r="B372" s="160"/>
      <c r="C372" s="227"/>
      <c r="D372" s="227"/>
      <c r="E372" s="228"/>
      <c r="F372" s="265" t="s">
        <v>238</v>
      </c>
      <c r="G372" s="160"/>
      <c r="H372" s="229"/>
      <c r="I372" s="229"/>
      <c r="J372" s="229"/>
      <c r="K372" s="229"/>
      <c r="L372" s="157">
        <v>10000</v>
      </c>
      <c r="M372" s="250"/>
      <c r="N372" s="230"/>
      <c r="O372" s="100">
        <f t="shared" si="1"/>
        <v>0</v>
      </c>
      <c r="P372" s="101"/>
      <c r="Q372" s="241"/>
      <c r="R372" s="233"/>
    </row>
    <row r="373" spans="1:18" ht="18" customHeight="1">
      <c r="A373" s="159">
        <v>0</v>
      </c>
      <c r="B373" s="160"/>
      <c r="C373" s="227"/>
      <c r="D373" s="227"/>
      <c r="E373" s="228"/>
      <c r="F373" s="265" t="s">
        <v>698</v>
      </c>
      <c r="G373" s="160"/>
      <c r="H373" s="229"/>
      <c r="I373" s="229"/>
      <c r="J373" s="229"/>
      <c r="K373" s="229"/>
      <c r="L373" s="157">
        <v>5000</v>
      </c>
      <c r="M373" s="250"/>
      <c r="N373" s="230"/>
      <c r="O373" s="100">
        <f t="shared" si="1"/>
        <v>0</v>
      </c>
      <c r="P373" s="101"/>
      <c r="Q373" s="241"/>
      <c r="R373" s="233"/>
    </row>
    <row r="374" spans="1:18" ht="18" customHeight="1">
      <c r="A374" s="159">
        <v>0</v>
      </c>
      <c r="B374" s="160"/>
      <c r="C374" s="227"/>
      <c r="D374" s="227"/>
      <c r="E374" s="228"/>
      <c r="F374" s="265" t="s">
        <v>699</v>
      </c>
      <c r="G374" s="160"/>
      <c r="H374" s="229"/>
      <c r="I374" s="229"/>
      <c r="J374" s="229"/>
      <c r="K374" s="229"/>
      <c r="L374" s="157">
        <v>611</v>
      </c>
      <c r="M374" s="250"/>
      <c r="N374" s="230"/>
      <c r="O374" s="100">
        <f t="shared" si="1"/>
        <v>0</v>
      </c>
      <c r="P374" s="101"/>
      <c r="Q374" s="241"/>
      <c r="R374" s="233"/>
    </row>
    <row r="375" spans="1:18" ht="18" customHeight="1">
      <c r="A375" s="159">
        <v>0</v>
      </c>
      <c r="B375" s="160"/>
      <c r="C375" s="227"/>
      <c r="D375" s="227"/>
      <c r="E375" s="228"/>
      <c r="F375" s="265" t="s">
        <v>350</v>
      </c>
      <c r="G375" s="160"/>
      <c r="H375" s="229"/>
      <c r="I375" s="229"/>
      <c r="J375" s="229"/>
      <c r="K375" s="229"/>
      <c r="L375" s="157">
        <v>1000</v>
      </c>
      <c r="M375" s="250"/>
      <c r="N375" s="230"/>
      <c r="O375" s="100">
        <f t="shared" si="1"/>
        <v>0</v>
      </c>
      <c r="P375" s="101"/>
      <c r="Q375" s="241"/>
      <c r="R375" s="233"/>
    </row>
    <row r="376" spans="1:18" ht="18" customHeight="1">
      <c r="A376" s="159">
        <v>0</v>
      </c>
      <c r="B376" s="160"/>
      <c r="C376" s="227"/>
      <c r="D376" s="227"/>
      <c r="E376" s="228"/>
      <c r="F376" s="265" t="s">
        <v>700</v>
      </c>
      <c r="G376" s="160"/>
      <c r="H376" s="229"/>
      <c r="I376" s="229"/>
      <c r="J376" s="229"/>
      <c r="K376" s="229"/>
      <c r="L376" s="157">
        <v>1223</v>
      </c>
      <c r="M376" s="250"/>
      <c r="N376" s="230"/>
      <c r="O376" s="100">
        <f t="shared" si="1"/>
        <v>0</v>
      </c>
      <c r="P376" s="101"/>
      <c r="Q376" s="241"/>
      <c r="R376" s="233"/>
    </row>
    <row r="377" spans="1:18" ht="18" customHeight="1">
      <c r="A377" s="159">
        <v>0</v>
      </c>
      <c r="B377" s="160"/>
      <c r="C377" s="227"/>
      <c r="D377" s="227"/>
      <c r="E377" s="228"/>
      <c r="F377" s="265" t="s">
        <v>586</v>
      </c>
      <c r="G377" s="160"/>
      <c r="H377" s="229"/>
      <c r="I377" s="229"/>
      <c r="J377" s="229"/>
      <c r="K377" s="229"/>
      <c r="L377" s="157">
        <v>10000</v>
      </c>
      <c r="M377" s="250"/>
      <c r="N377" s="230"/>
      <c r="O377" s="100">
        <f t="shared" si="1"/>
        <v>0</v>
      </c>
      <c r="P377" s="101"/>
      <c r="Q377" s="241"/>
      <c r="R377" s="233"/>
    </row>
    <row r="378" spans="1:18" ht="18" customHeight="1">
      <c r="A378" s="159">
        <v>0</v>
      </c>
      <c r="B378" s="160"/>
      <c r="C378" s="227"/>
      <c r="D378" s="227"/>
      <c r="E378" s="228"/>
      <c r="F378" s="265" t="s">
        <v>654</v>
      </c>
      <c r="G378" s="160"/>
      <c r="H378" s="229"/>
      <c r="I378" s="229"/>
      <c r="J378" s="229"/>
      <c r="K378" s="229"/>
      <c r="L378" s="157">
        <v>1000</v>
      </c>
      <c r="M378" s="250"/>
      <c r="N378" s="230"/>
      <c r="O378" s="100">
        <f t="shared" si="1"/>
        <v>0</v>
      </c>
      <c r="P378" s="101"/>
      <c r="Q378" s="241"/>
      <c r="R378" s="233"/>
    </row>
    <row r="379" spans="1:18" ht="18" customHeight="1">
      <c r="A379" s="159">
        <v>0</v>
      </c>
      <c r="B379" s="160"/>
      <c r="C379" s="227"/>
      <c r="D379" s="227"/>
      <c r="E379" s="228"/>
      <c r="F379" s="265" t="s">
        <v>92</v>
      </c>
      <c r="G379" s="160"/>
      <c r="H379" s="229"/>
      <c r="I379" s="229"/>
      <c r="J379" s="229"/>
      <c r="K379" s="229"/>
      <c r="L379" s="157">
        <v>2000</v>
      </c>
      <c r="M379" s="250"/>
      <c r="N379" s="230"/>
      <c r="O379" s="100">
        <f t="shared" si="1"/>
        <v>0</v>
      </c>
      <c r="P379" s="101"/>
      <c r="Q379" s="241"/>
      <c r="R379" s="233"/>
    </row>
    <row r="380" spans="1:18" ht="18" customHeight="1">
      <c r="A380" s="159">
        <v>0</v>
      </c>
      <c r="B380" s="160"/>
      <c r="C380" s="227"/>
      <c r="D380" s="227"/>
      <c r="E380" s="228"/>
      <c r="F380" s="265" t="s">
        <v>734</v>
      </c>
      <c r="G380" s="160"/>
      <c r="H380" s="229"/>
      <c r="I380" s="229"/>
      <c r="J380" s="229"/>
      <c r="K380" s="229"/>
      <c r="L380" s="157">
        <v>250</v>
      </c>
      <c r="M380" s="250"/>
      <c r="N380" s="230"/>
      <c r="O380" s="100">
        <f t="shared" si="1"/>
        <v>0</v>
      </c>
      <c r="P380" s="101"/>
      <c r="Q380" s="241"/>
      <c r="R380" s="233"/>
    </row>
    <row r="381" spans="1:18" ht="18" customHeight="1">
      <c r="A381" s="159">
        <v>0</v>
      </c>
      <c r="B381" s="160"/>
      <c r="C381" s="227"/>
      <c r="D381" s="227"/>
      <c r="E381" s="228"/>
      <c r="F381" s="265" t="s">
        <v>655</v>
      </c>
      <c r="G381" s="160"/>
      <c r="H381" s="229"/>
      <c r="I381" s="229"/>
      <c r="J381" s="229"/>
      <c r="K381" s="229"/>
      <c r="L381" s="157">
        <v>750</v>
      </c>
      <c r="M381" s="250"/>
      <c r="N381" s="230"/>
      <c r="O381" s="100">
        <f t="shared" si="1"/>
        <v>0</v>
      </c>
      <c r="P381" s="101"/>
      <c r="Q381" s="241"/>
      <c r="R381" s="233"/>
    </row>
    <row r="382" spans="1:18" ht="18" customHeight="1">
      <c r="A382" s="159">
        <v>0</v>
      </c>
      <c r="B382" s="160"/>
      <c r="C382" s="227"/>
      <c r="D382" s="227"/>
      <c r="E382" s="228"/>
      <c r="F382" s="265" t="s">
        <v>662</v>
      </c>
      <c r="G382" s="160"/>
      <c r="H382" s="229"/>
      <c r="I382" s="229"/>
      <c r="J382" s="229"/>
      <c r="K382" s="229"/>
      <c r="L382" s="157">
        <v>500</v>
      </c>
      <c r="M382" s="250"/>
      <c r="N382" s="230"/>
      <c r="O382" s="100">
        <f t="shared" si="1"/>
        <v>0</v>
      </c>
      <c r="P382" s="101"/>
      <c r="Q382" s="241"/>
      <c r="R382" s="233"/>
    </row>
    <row r="383" spans="1:18" ht="18" customHeight="1">
      <c r="A383" s="159">
        <v>0</v>
      </c>
      <c r="B383" s="160"/>
      <c r="C383" s="227"/>
      <c r="D383" s="227"/>
      <c r="E383" s="228"/>
      <c r="F383" s="265" t="s">
        <v>908</v>
      </c>
      <c r="G383" s="160"/>
      <c r="H383" s="229"/>
      <c r="I383" s="229"/>
      <c r="J383" s="229"/>
      <c r="K383" s="229"/>
      <c r="L383" s="157">
        <v>200</v>
      </c>
      <c r="M383" s="250"/>
      <c r="N383" s="230"/>
      <c r="O383" s="100">
        <f t="shared" si="1"/>
        <v>0</v>
      </c>
      <c r="P383" s="101"/>
      <c r="Q383" s="241"/>
      <c r="R383" s="233"/>
    </row>
    <row r="384" spans="1:18" ht="18" customHeight="1">
      <c r="A384" s="159">
        <v>0</v>
      </c>
      <c r="B384" s="160"/>
      <c r="C384" s="227"/>
      <c r="D384" s="227"/>
      <c r="E384" s="228"/>
      <c r="F384" s="265" t="s">
        <v>421</v>
      </c>
      <c r="G384" s="160"/>
      <c r="H384" s="229"/>
      <c r="I384" s="229"/>
      <c r="J384" s="229"/>
      <c r="K384" s="229"/>
      <c r="L384" s="157">
        <v>86000</v>
      </c>
      <c r="M384" s="250">
        <v>6.3E-3</v>
      </c>
      <c r="N384" s="230"/>
      <c r="O384" s="100">
        <f t="shared" si="1"/>
        <v>541.79999999999995</v>
      </c>
      <c r="P384" s="101"/>
      <c r="Q384" s="241"/>
      <c r="R384" s="233"/>
    </row>
    <row r="385" spans="1:18" ht="18" customHeight="1">
      <c r="A385" s="159">
        <v>0</v>
      </c>
      <c r="B385" s="160"/>
      <c r="C385" s="227"/>
      <c r="D385" s="227"/>
      <c r="E385" s="228"/>
      <c r="F385" s="265" t="s">
        <v>427</v>
      </c>
      <c r="G385" s="160"/>
      <c r="H385" s="229"/>
      <c r="I385" s="229"/>
      <c r="J385" s="229"/>
      <c r="K385" s="229"/>
      <c r="L385" s="157">
        <v>2000</v>
      </c>
      <c r="M385" s="250">
        <v>6.3E-3</v>
      </c>
      <c r="N385" s="230"/>
      <c r="O385" s="100">
        <f t="shared" si="1"/>
        <v>12.6</v>
      </c>
      <c r="P385" s="101"/>
      <c r="Q385" s="241"/>
      <c r="R385" s="233"/>
    </row>
    <row r="386" spans="1:18" ht="18" customHeight="1">
      <c r="A386" s="159">
        <v>0</v>
      </c>
      <c r="B386" s="160"/>
      <c r="C386" s="227"/>
      <c r="D386" s="227"/>
      <c r="E386" s="228"/>
      <c r="F386" s="265" t="s">
        <v>729</v>
      </c>
      <c r="G386" s="160"/>
      <c r="H386" s="229"/>
      <c r="I386" s="229"/>
      <c r="J386" s="229"/>
      <c r="K386" s="229"/>
      <c r="L386" s="157">
        <v>1300</v>
      </c>
      <c r="M386" s="250">
        <v>9.1999999999999998E-3</v>
      </c>
      <c r="N386" s="230"/>
      <c r="O386" s="100">
        <f t="shared" si="1"/>
        <v>11.959999999999999</v>
      </c>
      <c r="P386" s="101"/>
      <c r="Q386" s="241"/>
      <c r="R386" s="233"/>
    </row>
    <row r="387" spans="1:18" ht="18" customHeight="1">
      <c r="A387" s="159">
        <v>0</v>
      </c>
      <c r="B387" s="160"/>
      <c r="C387" s="227"/>
      <c r="D387" s="227"/>
      <c r="E387" s="228"/>
      <c r="F387" s="265" t="s">
        <v>428</v>
      </c>
      <c r="G387" s="160"/>
      <c r="H387" s="229"/>
      <c r="I387" s="229"/>
      <c r="J387" s="229"/>
      <c r="K387" s="229"/>
      <c r="L387" s="157">
        <v>2000</v>
      </c>
      <c r="M387" s="250">
        <v>6.3E-3</v>
      </c>
      <c r="N387" s="230"/>
      <c r="O387" s="100">
        <f t="shared" si="1"/>
        <v>12.6</v>
      </c>
      <c r="P387" s="101"/>
      <c r="Q387" s="241"/>
      <c r="R387" s="233"/>
    </row>
    <row r="388" spans="1:18" ht="18" customHeight="1">
      <c r="A388" s="159">
        <v>0</v>
      </c>
      <c r="B388" s="160"/>
      <c r="C388" s="227"/>
      <c r="D388" s="227"/>
      <c r="E388" s="228"/>
      <c r="F388" s="265" t="s">
        <v>537</v>
      </c>
      <c r="G388" s="160"/>
      <c r="H388" s="229"/>
      <c r="I388" s="229"/>
      <c r="J388" s="229"/>
      <c r="K388" s="229"/>
      <c r="L388" s="157">
        <v>1000</v>
      </c>
      <c r="M388" s="250">
        <v>2.24E-2</v>
      </c>
      <c r="N388" s="230"/>
      <c r="O388" s="100">
        <f t="shared" si="1"/>
        <v>22.4</v>
      </c>
      <c r="P388" s="101"/>
      <c r="Q388" s="241"/>
      <c r="R388" s="233"/>
    </row>
    <row r="389" spans="1:18" ht="18" customHeight="1">
      <c r="A389" s="159">
        <v>0</v>
      </c>
      <c r="B389" s="160"/>
      <c r="C389" s="227"/>
      <c r="D389" s="227"/>
      <c r="E389" s="228"/>
      <c r="F389" s="265" t="s">
        <v>431</v>
      </c>
      <c r="G389" s="160"/>
      <c r="H389" s="229"/>
      <c r="I389" s="229"/>
      <c r="J389" s="229"/>
      <c r="K389" s="229"/>
      <c r="L389" s="157">
        <v>9000</v>
      </c>
      <c r="M389" s="250">
        <v>4.7000000000000002E-3</v>
      </c>
      <c r="N389" s="230"/>
      <c r="O389" s="100">
        <f t="shared" si="1"/>
        <v>42.300000000000004</v>
      </c>
      <c r="P389" s="101"/>
      <c r="Q389" s="241"/>
      <c r="R389" s="233"/>
    </row>
    <row r="390" spans="1:18" ht="18" customHeight="1">
      <c r="A390" s="159">
        <v>0</v>
      </c>
      <c r="B390" s="160"/>
      <c r="C390" s="227"/>
      <c r="D390" s="227"/>
      <c r="E390" s="228"/>
      <c r="F390" s="265" t="s">
        <v>529</v>
      </c>
      <c r="G390" s="160"/>
      <c r="H390" s="229"/>
      <c r="I390" s="229"/>
      <c r="J390" s="229"/>
      <c r="K390" s="229"/>
      <c r="L390" s="157">
        <v>400</v>
      </c>
      <c r="M390" s="250">
        <v>2.75E-2</v>
      </c>
      <c r="N390" s="230"/>
      <c r="O390" s="100">
        <f t="shared" si="1"/>
        <v>11</v>
      </c>
      <c r="P390" s="101"/>
      <c r="Q390" s="241"/>
      <c r="R390" s="233"/>
    </row>
    <row r="391" spans="1:18" ht="18" customHeight="1">
      <c r="A391" s="159">
        <v>0</v>
      </c>
      <c r="B391" s="160"/>
      <c r="C391" s="227"/>
      <c r="D391" s="227"/>
      <c r="E391" s="228"/>
      <c r="F391" s="265" t="s">
        <v>254</v>
      </c>
      <c r="G391" s="160"/>
      <c r="H391" s="229"/>
      <c r="I391" s="229"/>
      <c r="J391" s="229"/>
      <c r="K391" s="229"/>
      <c r="L391" s="157">
        <v>5000</v>
      </c>
      <c r="M391" s="250">
        <v>9.2999999999999992E-3</v>
      </c>
      <c r="N391" s="230"/>
      <c r="O391" s="100">
        <f t="shared" si="1"/>
        <v>46.499999999999993</v>
      </c>
      <c r="P391" s="101"/>
      <c r="Q391" s="241"/>
      <c r="R391" s="233"/>
    </row>
    <row r="392" spans="1:18" ht="18" customHeight="1">
      <c r="A392" s="159">
        <v>0</v>
      </c>
      <c r="B392" s="160"/>
      <c r="C392" s="227"/>
      <c r="D392" s="227"/>
      <c r="E392" s="228"/>
      <c r="F392" s="265" t="s">
        <v>351</v>
      </c>
      <c r="G392" s="160"/>
      <c r="H392" s="229"/>
      <c r="I392" s="229"/>
      <c r="J392" s="229"/>
      <c r="K392" s="229"/>
      <c r="L392" s="157">
        <v>1000</v>
      </c>
      <c r="M392" s="250">
        <v>9.2999999999999992E-3</v>
      </c>
      <c r="N392" s="230"/>
      <c r="O392" s="100">
        <f t="shared" si="1"/>
        <v>9.2999999999999989</v>
      </c>
      <c r="P392" s="101"/>
      <c r="Q392" s="241"/>
      <c r="R392" s="233"/>
    </row>
    <row r="393" spans="1:18" ht="18" customHeight="1">
      <c r="A393" s="159">
        <v>0</v>
      </c>
      <c r="B393" s="160"/>
      <c r="C393" s="227"/>
      <c r="D393" s="227"/>
      <c r="E393" s="228"/>
      <c r="F393" s="265" t="s">
        <v>247</v>
      </c>
      <c r="G393" s="160"/>
      <c r="H393" s="229"/>
      <c r="I393" s="229"/>
      <c r="J393" s="229"/>
      <c r="K393" s="229"/>
      <c r="L393" s="157">
        <v>4000</v>
      </c>
      <c r="M393" s="250">
        <v>1.17E-2</v>
      </c>
      <c r="N393" s="230"/>
      <c r="O393" s="100">
        <f t="shared" si="1"/>
        <v>46.800000000000004</v>
      </c>
      <c r="P393" s="101"/>
      <c r="Q393" s="241"/>
      <c r="R393" s="233"/>
    </row>
    <row r="394" spans="1:18" ht="18" customHeight="1">
      <c r="A394" s="159">
        <v>0</v>
      </c>
      <c r="B394" s="160"/>
      <c r="C394" s="227"/>
      <c r="D394" s="227"/>
      <c r="E394" s="228"/>
      <c r="F394" s="265" t="s">
        <v>656</v>
      </c>
      <c r="G394" s="160"/>
      <c r="H394" s="229"/>
      <c r="I394" s="229"/>
      <c r="J394" s="229"/>
      <c r="K394" s="229"/>
      <c r="L394" s="157">
        <v>1000</v>
      </c>
      <c r="M394" s="250">
        <v>1.17E-2</v>
      </c>
      <c r="N394" s="230"/>
      <c r="O394" s="100">
        <f t="shared" si="1"/>
        <v>11.700000000000001</v>
      </c>
      <c r="P394" s="101"/>
      <c r="Q394" s="241"/>
      <c r="R394" s="233"/>
    </row>
    <row r="395" spans="1:18" ht="18" customHeight="1">
      <c r="A395" s="159">
        <v>0</v>
      </c>
      <c r="B395" s="160"/>
      <c r="C395" s="227"/>
      <c r="D395" s="227"/>
      <c r="E395" s="228"/>
      <c r="F395" s="265" t="s">
        <v>536</v>
      </c>
      <c r="G395" s="160"/>
      <c r="H395" s="229"/>
      <c r="I395" s="229"/>
      <c r="J395" s="229"/>
      <c r="K395" s="229"/>
      <c r="L395" s="157">
        <v>5000</v>
      </c>
      <c r="M395" s="250">
        <v>1.17E-2</v>
      </c>
      <c r="N395" s="230"/>
      <c r="O395" s="100">
        <f t="shared" si="1"/>
        <v>58.5</v>
      </c>
      <c r="P395" s="101"/>
      <c r="Q395" s="241"/>
      <c r="R395" s="233"/>
    </row>
    <row r="396" spans="1:18" ht="18" customHeight="1">
      <c r="A396" s="159">
        <v>0</v>
      </c>
      <c r="B396" s="160"/>
      <c r="C396" s="227"/>
      <c r="D396" s="227"/>
      <c r="E396" s="228"/>
      <c r="F396" s="265" t="s">
        <v>426</v>
      </c>
      <c r="G396" s="160"/>
      <c r="H396" s="229"/>
      <c r="I396" s="229"/>
      <c r="J396" s="229"/>
      <c r="K396" s="229"/>
      <c r="L396" s="157">
        <v>28000</v>
      </c>
      <c r="M396" s="250">
        <v>6.3E-3</v>
      </c>
      <c r="N396" s="230"/>
      <c r="O396" s="100">
        <f t="shared" si="1"/>
        <v>176.4</v>
      </c>
      <c r="P396" s="101"/>
      <c r="Q396" s="241"/>
      <c r="R396" s="233"/>
    </row>
    <row r="397" spans="1:18" ht="18" customHeight="1">
      <c r="A397" s="159">
        <v>0</v>
      </c>
      <c r="B397" s="160"/>
      <c r="C397" s="227"/>
      <c r="D397" s="227"/>
      <c r="E397" s="228"/>
      <c r="F397" s="265" t="s">
        <v>257</v>
      </c>
      <c r="G397" s="160"/>
      <c r="H397" s="229"/>
      <c r="I397" s="229"/>
      <c r="J397" s="229"/>
      <c r="K397" s="229"/>
      <c r="L397" s="157">
        <v>30000</v>
      </c>
      <c r="M397" s="250">
        <v>6.3E-3</v>
      </c>
      <c r="N397" s="230"/>
      <c r="O397" s="100">
        <f t="shared" si="1"/>
        <v>189</v>
      </c>
      <c r="P397" s="101"/>
      <c r="Q397" s="241"/>
      <c r="R397" s="233"/>
    </row>
    <row r="398" spans="1:18" ht="18" customHeight="1">
      <c r="A398" s="159">
        <v>0</v>
      </c>
      <c r="B398" s="160"/>
      <c r="C398" s="227"/>
      <c r="D398" s="227"/>
      <c r="E398" s="228"/>
      <c r="F398" s="265" t="s">
        <v>675</v>
      </c>
      <c r="G398" s="160"/>
      <c r="H398" s="229"/>
      <c r="I398" s="229"/>
      <c r="J398" s="229"/>
      <c r="K398" s="229"/>
      <c r="L398" s="157">
        <v>2000</v>
      </c>
      <c r="M398" s="250">
        <v>6.3E-3</v>
      </c>
      <c r="N398" s="230"/>
      <c r="O398" s="100">
        <f t="shared" si="1"/>
        <v>12.6</v>
      </c>
      <c r="P398" s="101"/>
      <c r="Q398" s="241"/>
      <c r="R398" s="233"/>
    </row>
    <row r="399" spans="1:18" ht="18" customHeight="1">
      <c r="A399" s="159">
        <v>0</v>
      </c>
      <c r="B399" s="160"/>
      <c r="C399" s="227"/>
      <c r="D399" s="227"/>
      <c r="E399" s="228"/>
      <c r="F399" s="265" t="s">
        <v>517</v>
      </c>
      <c r="G399" s="160"/>
      <c r="H399" s="229"/>
      <c r="I399" s="229"/>
      <c r="J399" s="229"/>
      <c r="K399" s="229"/>
      <c r="L399" s="157">
        <v>14000</v>
      </c>
      <c r="M399" s="250">
        <v>6.3E-3</v>
      </c>
      <c r="N399" s="230"/>
      <c r="O399" s="100">
        <f t="shared" si="1"/>
        <v>88.2</v>
      </c>
      <c r="P399" s="101"/>
      <c r="Q399" s="241"/>
      <c r="R399" s="233"/>
    </row>
    <row r="400" spans="1:18" ht="18" customHeight="1">
      <c r="A400" s="159">
        <v>0</v>
      </c>
      <c r="B400" s="160"/>
      <c r="C400" s="227"/>
      <c r="D400" s="227"/>
      <c r="E400" s="228"/>
      <c r="F400" s="265" t="s">
        <v>422</v>
      </c>
      <c r="G400" s="160"/>
      <c r="H400" s="229"/>
      <c r="I400" s="229"/>
      <c r="J400" s="229"/>
      <c r="K400" s="229"/>
      <c r="L400" s="157">
        <v>14000</v>
      </c>
      <c r="M400" s="250">
        <v>6.3E-3</v>
      </c>
      <c r="N400" s="230"/>
      <c r="O400" s="100">
        <f t="shared" si="1"/>
        <v>88.2</v>
      </c>
      <c r="P400" s="101"/>
      <c r="Q400" s="241"/>
      <c r="R400" s="233"/>
    </row>
    <row r="401" spans="1:18" ht="18" customHeight="1">
      <c r="A401" s="159">
        <v>0</v>
      </c>
      <c r="B401" s="160"/>
      <c r="C401" s="227"/>
      <c r="D401" s="227"/>
      <c r="E401" s="228"/>
      <c r="F401" s="265" t="s">
        <v>671</v>
      </c>
      <c r="G401" s="160"/>
      <c r="H401" s="229"/>
      <c r="I401" s="229"/>
      <c r="J401" s="229"/>
      <c r="K401" s="229"/>
      <c r="L401" s="157">
        <v>4000</v>
      </c>
      <c r="M401" s="250">
        <v>6.3E-3</v>
      </c>
      <c r="N401" s="230"/>
      <c r="O401" s="100">
        <f t="shared" si="1"/>
        <v>25.2</v>
      </c>
      <c r="P401" s="101"/>
      <c r="Q401" s="241"/>
      <c r="R401" s="233"/>
    </row>
    <row r="402" spans="1:18" ht="18" customHeight="1">
      <c r="A402" s="159">
        <v>0</v>
      </c>
      <c r="B402" s="160"/>
      <c r="C402" s="227"/>
      <c r="D402" s="227"/>
      <c r="E402" s="228"/>
      <c r="F402" s="265" t="s">
        <v>533</v>
      </c>
      <c r="G402" s="160"/>
      <c r="H402" s="229"/>
      <c r="I402" s="229"/>
      <c r="J402" s="229"/>
      <c r="K402" s="229"/>
      <c r="L402" s="157">
        <v>27000</v>
      </c>
      <c r="M402" s="250">
        <v>6.3E-3</v>
      </c>
      <c r="N402" s="230"/>
      <c r="O402" s="100">
        <f t="shared" si="1"/>
        <v>170.1</v>
      </c>
      <c r="P402" s="101"/>
      <c r="Q402" s="241"/>
      <c r="R402" s="233"/>
    </row>
    <row r="403" spans="1:18" ht="18" customHeight="1">
      <c r="A403" s="159">
        <v>0</v>
      </c>
      <c r="B403" s="160"/>
      <c r="C403" s="227"/>
      <c r="D403" s="227"/>
      <c r="E403" s="228"/>
      <c r="F403" s="265" t="s">
        <v>534</v>
      </c>
      <c r="G403" s="160"/>
      <c r="H403" s="229"/>
      <c r="I403" s="229"/>
      <c r="J403" s="229"/>
      <c r="K403" s="229"/>
      <c r="L403" s="157">
        <v>26000</v>
      </c>
      <c r="M403" s="250">
        <v>6.3E-3</v>
      </c>
      <c r="N403" s="230"/>
      <c r="O403" s="100">
        <f t="shared" si="1"/>
        <v>163.80000000000001</v>
      </c>
      <c r="P403" s="101"/>
      <c r="Q403" s="241"/>
      <c r="R403" s="233"/>
    </row>
    <row r="404" spans="1:18" ht="18" customHeight="1">
      <c r="A404" s="159">
        <v>0</v>
      </c>
      <c r="B404" s="160"/>
      <c r="C404" s="227"/>
      <c r="D404" s="227"/>
      <c r="E404" s="228"/>
      <c r="F404" s="265" t="s">
        <v>425</v>
      </c>
      <c r="G404" s="160"/>
      <c r="H404" s="229"/>
      <c r="I404" s="229"/>
      <c r="J404" s="229"/>
      <c r="K404" s="229"/>
      <c r="L404" s="157">
        <v>7000</v>
      </c>
      <c r="M404" s="250">
        <v>6.3E-3</v>
      </c>
      <c r="N404" s="230"/>
      <c r="O404" s="100">
        <f t="shared" si="1"/>
        <v>44.1</v>
      </c>
      <c r="P404" s="101"/>
      <c r="Q404" s="241"/>
      <c r="R404" s="233"/>
    </row>
    <row r="405" spans="1:18" ht="18" customHeight="1">
      <c r="A405" s="159">
        <v>0</v>
      </c>
      <c r="B405" s="160"/>
      <c r="C405" s="227"/>
      <c r="D405" s="227"/>
      <c r="E405" s="228"/>
      <c r="F405" s="265" t="s">
        <v>432</v>
      </c>
      <c r="G405" s="160"/>
      <c r="H405" s="229"/>
      <c r="I405" s="229"/>
      <c r="J405" s="229"/>
      <c r="K405" s="229"/>
      <c r="L405" s="157">
        <v>12000</v>
      </c>
      <c r="M405" s="250">
        <v>4.7000000000000002E-3</v>
      </c>
      <c r="N405" s="230"/>
      <c r="O405" s="100">
        <f t="shared" si="1"/>
        <v>56.400000000000006</v>
      </c>
      <c r="P405" s="101"/>
      <c r="Q405" s="241"/>
      <c r="R405" s="233"/>
    </row>
    <row r="406" spans="1:18" ht="18" customHeight="1">
      <c r="A406" s="159">
        <v>0</v>
      </c>
      <c r="B406" s="160"/>
      <c r="C406" s="227"/>
      <c r="D406" s="227"/>
      <c r="E406" s="228"/>
      <c r="F406" s="265" t="s">
        <v>259</v>
      </c>
      <c r="G406" s="160"/>
      <c r="H406" s="229"/>
      <c r="I406" s="229"/>
      <c r="J406" s="229"/>
      <c r="K406" s="229"/>
      <c r="L406" s="157">
        <v>36000</v>
      </c>
      <c r="M406" s="250">
        <v>4.7000000000000002E-3</v>
      </c>
      <c r="N406" s="230"/>
      <c r="O406" s="100">
        <f t="shared" ref="O406:O455" si="4">L406*M406</f>
        <v>169.20000000000002</v>
      </c>
      <c r="P406" s="101"/>
      <c r="Q406" s="241"/>
      <c r="R406" s="233"/>
    </row>
    <row r="407" spans="1:18" ht="18" customHeight="1">
      <c r="A407" s="159">
        <v>0</v>
      </c>
      <c r="B407" s="160"/>
      <c r="C407" s="227"/>
      <c r="D407" s="227"/>
      <c r="E407" s="228"/>
      <c r="F407" s="265" t="s">
        <v>531</v>
      </c>
      <c r="G407" s="160"/>
      <c r="H407" s="229"/>
      <c r="I407" s="229"/>
      <c r="J407" s="229"/>
      <c r="K407" s="229"/>
      <c r="L407" s="157">
        <v>25500</v>
      </c>
      <c r="M407" s="250">
        <v>4.7000000000000002E-3</v>
      </c>
      <c r="N407" s="230"/>
      <c r="O407" s="100">
        <f t="shared" si="4"/>
        <v>119.85000000000001</v>
      </c>
      <c r="P407" s="101"/>
      <c r="Q407" s="241"/>
      <c r="R407" s="233"/>
    </row>
    <row r="408" spans="1:18" ht="18" customHeight="1">
      <c r="A408" s="159">
        <v>0</v>
      </c>
      <c r="B408" s="160"/>
      <c r="C408" s="227"/>
      <c r="D408" s="227"/>
      <c r="E408" s="228"/>
      <c r="F408" s="265" t="s">
        <v>431</v>
      </c>
      <c r="G408" s="160"/>
      <c r="H408" s="229"/>
      <c r="I408" s="229"/>
      <c r="J408" s="229"/>
      <c r="K408" s="229"/>
      <c r="L408" s="157">
        <v>22500</v>
      </c>
      <c r="M408" s="250">
        <v>4.7000000000000002E-3</v>
      </c>
      <c r="N408" s="230"/>
      <c r="O408" s="100">
        <f t="shared" si="4"/>
        <v>105.75</v>
      </c>
      <c r="P408" s="101"/>
      <c r="Q408" s="241"/>
      <c r="R408" s="233"/>
    </row>
    <row r="409" spans="1:18" ht="18" customHeight="1">
      <c r="A409" s="159">
        <v>0</v>
      </c>
      <c r="B409" s="160"/>
      <c r="C409" s="227"/>
      <c r="D409" s="227"/>
      <c r="E409" s="228"/>
      <c r="F409" s="265" t="s">
        <v>251</v>
      </c>
      <c r="G409" s="160"/>
      <c r="H409" s="229"/>
      <c r="I409" s="229"/>
      <c r="J409" s="229"/>
      <c r="K409" s="229"/>
      <c r="L409" s="157">
        <v>1000</v>
      </c>
      <c r="M409" s="250">
        <v>9.2999999999999992E-3</v>
      </c>
      <c r="N409" s="230"/>
      <c r="O409" s="100">
        <f t="shared" si="4"/>
        <v>9.2999999999999989</v>
      </c>
      <c r="P409" s="101"/>
      <c r="Q409" s="241"/>
      <c r="R409" s="233"/>
    </row>
    <row r="410" spans="1:18" ht="18" customHeight="1">
      <c r="A410" s="159">
        <v>0</v>
      </c>
      <c r="B410" s="160"/>
      <c r="C410" s="227"/>
      <c r="D410" s="227"/>
      <c r="E410" s="228"/>
      <c r="F410" s="265" t="s">
        <v>250</v>
      </c>
      <c r="G410" s="160"/>
      <c r="H410" s="229"/>
      <c r="I410" s="229"/>
      <c r="J410" s="229"/>
      <c r="K410" s="229"/>
      <c r="L410" s="157">
        <v>4000</v>
      </c>
      <c r="M410" s="250">
        <v>9.2999999999999992E-3</v>
      </c>
      <c r="N410" s="230"/>
      <c r="O410" s="100">
        <f t="shared" si="4"/>
        <v>37.199999999999996</v>
      </c>
      <c r="P410" s="101"/>
      <c r="Q410" s="241"/>
      <c r="R410" s="233"/>
    </row>
    <row r="411" spans="1:18" ht="18" customHeight="1">
      <c r="A411" s="159">
        <v>0</v>
      </c>
      <c r="B411" s="160"/>
      <c r="C411" s="227"/>
      <c r="D411" s="227"/>
      <c r="E411" s="228"/>
      <c r="F411" s="265" t="s">
        <v>249</v>
      </c>
      <c r="G411" s="160"/>
      <c r="H411" s="229"/>
      <c r="I411" s="229"/>
      <c r="J411" s="229"/>
      <c r="K411" s="229"/>
      <c r="L411" s="157">
        <v>3000</v>
      </c>
      <c r="M411" s="250">
        <v>9.2999999999999992E-3</v>
      </c>
      <c r="N411" s="230"/>
      <c r="O411" s="100">
        <f t="shared" si="4"/>
        <v>27.9</v>
      </c>
      <c r="P411" s="101"/>
      <c r="Q411" s="241"/>
      <c r="R411" s="233"/>
    </row>
    <row r="412" spans="1:18" ht="18" customHeight="1">
      <c r="A412" s="159">
        <v>0</v>
      </c>
      <c r="B412" s="160"/>
      <c r="C412" s="227"/>
      <c r="D412" s="227"/>
      <c r="E412" s="228"/>
      <c r="F412" s="265" t="s">
        <v>248</v>
      </c>
      <c r="G412" s="160"/>
      <c r="H412" s="229"/>
      <c r="I412" s="229"/>
      <c r="J412" s="229"/>
      <c r="K412" s="229"/>
      <c r="L412" s="157">
        <v>4000</v>
      </c>
      <c r="M412" s="250">
        <v>9.2999999999999992E-3</v>
      </c>
      <c r="N412" s="230"/>
      <c r="O412" s="100">
        <f t="shared" si="4"/>
        <v>37.199999999999996</v>
      </c>
      <c r="P412" s="101"/>
      <c r="Q412" s="241"/>
      <c r="R412" s="233"/>
    </row>
    <row r="413" spans="1:18" ht="18" customHeight="1">
      <c r="A413" s="159">
        <v>0</v>
      </c>
      <c r="B413" s="160"/>
      <c r="C413" s="227"/>
      <c r="D413" s="227"/>
      <c r="E413" s="228"/>
      <c r="F413" s="265" t="s">
        <v>247</v>
      </c>
      <c r="G413" s="160"/>
      <c r="H413" s="229"/>
      <c r="I413" s="229"/>
      <c r="J413" s="229"/>
      <c r="K413" s="229"/>
      <c r="L413" s="157">
        <v>14000</v>
      </c>
      <c r="M413" s="250">
        <v>1.17E-2</v>
      </c>
      <c r="N413" s="230"/>
      <c r="O413" s="100">
        <f t="shared" si="4"/>
        <v>163.80000000000001</v>
      </c>
      <c r="P413" s="101"/>
      <c r="Q413" s="241"/>
      <c r="R413" s="233"/>
    </row>
    <row r="414" spans="1:18" ht="18" customHeight="1">
      <c r="A414" s="159">
        <v>0</v>
      </c>
      <c r="B414" s="160"/>
      <c r="C414" s="227"/>
      <c r="D414" s="227"/>
      <c r="E414" s="228"/>
      <c r="F414" s="265" t="s">
        <v>423</v>
      </c>
      <c r="G414" s="160"/>
      <c r="H414" s="229"/>
      <c r="I414" s="229"/>
      <c r="J414" s="229"/>
      <c r="K414" s="229"/>
      <c r="L414" s="157">
        <v>19000</v>
      </c>
      <c r="M414" s="250">
        <v>6.3E-3</v>
      </c>
      <c r="N414" s="230"/>
      <c r="O414" s="100">
        <f t="shared" si="4"/>
        <v>119.7</v>
      </c>
      <c r="P414" s="101"/>
      <c r="Q414" s="241"/>
      <c r="R414" s="233"/>
    </row>
    <row r="415" spans="1:18" ht="18" customHeight="1">
      <c r="A415" s="159">
        <v>0</v>
      </c>
      <c r="B415" s="160"/>
      <c r="C415" s="227"/>
      <c r="D415" s="227"/>
      <c r="E415" s="228"/>
      <c r="F415" s="265" t="s">
        <v>424</v>
      </c>
      <c r="G415" s="160"/>
      <c r="H415" s="229"/>
      <c r="I415" s="229"/>
      <c r="J415" s="229"/>
      <c r="K415" s="229"/>
      <c r="L415" s="157">
        <v>21000</v>
      </c>
      <c r="M415" s="250">
        <v>6.3E-3</v>
      </c>
      <c r="N415" s="230"/>
      <c r="O415" s="100">
        <f t="shared" si="4"/>
        <v>132.30000000000001</v>
      </c>
      <c r="P415" s="101"/>
      <c r="Q415" s="241"/>
      <c r="R415" s="233"/>
    </row>
    <row r="416" spans="1:18" ht="18" customHeight="1">
      <c r="A416" s="159">
        <v>0</v>
      </c>
      <c r="B416" s="160"/>
      <c r="C416" s="227"/>
      <c r="D416" s="227"/>
      <c r="E416" s="228"/>
      <c r="F416" s="265" t="s">
        <v>516</v>
      </c>
      <c r="G416" s="160"/>
      <c r="H416" s="229"/>
      <c r="I416" s="229"/>
      <c r="J416" s="229"/>
      <c r="K416" s="229"/>
      <c r="L416" s="157">
        <v>16000</v>
      </c>
      <c r="M416" s="250">
        <v>6.3E-3</v>
      </c>
      <c r="N416" s="230"/>
      <c r="O416" s="100">
        <f t="shared" si="4"/>
        <v>100.8</v>
      </c>
      <c r="P416" s="101"/>
      <c r="Q416" s="241"/>
      <c r="R416" s="233"/>
    </row>
    <row r="417" spans="1:18" ht="18" customHeight="1">
      <c r="A417" s="159">
        <v>0</v>
      </c>
      <c r="B417" s="160"/>
      <c r="C417" s="227"/>
      <c r="D417" s="227"/>
      <c r="E417" s="228"/>
      <c r="F417" s="265" t="s">
        <v>420</v>
      </c>
      <c r="G417" s="160"/>
      <c r="H417" s="229"/>
      <c r="I417" s="229"/>
      <c r="J417" s="229"/>
      <c r="K417" s="229"/>
      <c r="L417" s="157">
        <v>18000</v>
      </c>
      <c r="M417" s="250">
        <v>6.3E-3</v>
      </c>
      <c r="N417" s="230"/>
      <c r="O417" s="100">
        <f t="shared" si="4"/>
        <v>113.4</v>
      </c>
      <c r="P417" s="101"/>
      <c r="Q417" s="241"/>
      <c r="R417" s="233"/>
    </row>
    <row r="418" spans="1:18" ht="18" customHeight="1">
      <c r="A418" s="159">
        <v>0</v>
      </c>
      <c r="B418" s="160"/>
      <c r="C418" s="227"/>
      <c r="D418" s="227"/>
      <c r="E418" s="228"/>
      <c r="F418" s="265" t="s">
        <v>256</v>
      </c>
      <c r="G418" s="160"/>
      <c r="H418" s="229"/>
      <c r="I418" s="229"/>
      <c r="J418" s="229"/>
      <c r="K418" s="229"/>
      <c r="L418" s="157">
        <v>12000</v>
      </c>
      <c r="M418" s="250">
        <v>6.3E-3</v>
      </c>
      <c r="N418" s="230"/>
      <c r="O418" s="100">
        <f t="shared" si="4"/>
        <v>75.599999999999994</v>
      </c>
      <c r="P418" s="101"/>
      <c r="Q418" s="241"/>
      <c r="R418" s="233"/>
    </row>
    <row r="419" spans="1:18" ht="18" customHeight="1">
      <c r="A419" s="159">
        <v>0</v>
      </c>
      <c r="B419" s="160"/>
      <c r="C419" s="227"/>
      <c r="D419" s="227"/>
      <c r="E419" s="228"/>
      <c r="F419" s="265" t="s">
        <v>418</v>
      </c>
      <c r="G419" s="160"/>
      <c r="H419" s="229"/>
      <c r="I419" s="229"/>
      <c r="J419" s="229"/>
      <c r="K419" s="229"/>
      <c r="L419" s="157">
        <v>2000</v>
      </c>
      <c r="M419" s="250">
        <v>6.3E-3</v>
      </c>
      <c r="N419" s="230"/>
      <c r="O419" s="100">
        <f t="shared" si="4"/>
        <v>12.6</v>
      </c>
      <c r="P419" s="101"/>
      <c r="Q419" s="241"/>
      <c r="R419" s="233"/>
    </row>
    <row r="420" spans="1:18" ht="18" customHeight="1">
      <c r="A420" s="159">
        <v>0</v>
      </c>
      <c r="B420" s="160"/>
      <c r="C420" s="227"/>
      <c r="D420" s="227"/>
      <c r="E420" s="228"/>
      <c r="F420" s="265" t="s">
        <v>525</v>
      </c>
      <c r="G420" s="160"/>
      <c r="H420" s="229"/>
      <c r="I420" s="229"/>
      <c r="J420" s="229"/>
      <c r="K420" s="229"/>
      <c r="L420" s="157">
        <v>28000</v>
      </c>
      <c r="M420" s="250">
        <v>6.3E-3</v>
      </c>
      <c r="N420" s="230"/>
      <c r="O420" s="100">
        <f t="shared" si="4"/>
        <v>176.4</v>
      </c>
      <c r="P420" s="101"/>
      <c r="Q420" s="241"/>
      <c r="R420" s="233"/>
    </row>
    <row r="421" spans="1:18" ht="18" customHeight="1">
      <c r="A421" s="159">
        <v>0</v>
      </c>
      <c r="B421" s="160"/>
      <c r="C421" s="227"/>
      <c r="D421" s="227"/>
      <c r="E421" s="228"/>
      <c r="F421" s="265" t="s">
        <v>520</v>
      </c>
      <c r="G421" s="160"/>
      <c r="H421" s="229"/>
      <c r="I421" s="229"/>
      <c r="J421" s="229"/>
      <c r="K421" s="229"/>
      <c r="L421" s="157">
        <v>3000</v>
      </c>
      <c r="M421" s="250">
        <v>6.3E-3</v>
      </c>
      <c r="N421" s="230"/>
      <c r="O421" s="100">
        <f t="shared" si="4"/>
        <v>18.899999999999999</v>
      </c>
      <c r="P421" s="101"/>
      <c r="Q421" s="241"/>
      <c r="R421" s="233"/>
    </row>
    <row r="422" spans="1:18" ht="18" customHeight="1">
      <c r="A422" s="159">
        <v>0</v>
      </c>
      <c r="B422" s="160"/>
      <c r="C422" s="227"/>
      <c r="D422" s="227"/>
      <c r="E422" s="228"/>
      <c r="F422" s="265" t="s">
        <v>419</v>
      </c>
      <c r="G422" s="160"/>
      <c r="H422" s="229"/>
      <c r="I422" s="229"/>
      <c r="J422" s="229"/>
      <c r="K422" s="229"/>
      <c r="L422" s="157">
        <v>58000</v>
      </c>
      <c r="M422" s="250">
        <v>6.3E-3</v>
      </c>
      <c r="N422" s="230"/>
      <c r="O422" s="100">
        <f t="shared" si="4"/>
        <v>365.4</v>
      </c>
      <c r="P422" s="101"/>
      <c r="Q422" s="241"/>
      <c r="R422" s="233"/>
    </row>
    <row r="423" spans="1:18" ht="18" customHeight="1">
      <c r="A423" s="159">
        <v>0</v>
      </c>
      <c r="B423" s="160"/>
      <c r="C423" s="227"/>
      <c r="D423" s="227"/>
      <c r="E423" s="228"/>
      <c r="F423" s="265" t="s">
        <v>521</v>
      </c>
      <c r="G423" s="160"/>
      <c r="H423" s="229"/>
      <c r="I423" s="229"/>
      <c r="J423" s="229"/>
      <c r="K423" s="229"/>
      <c r="L423" s="157">
        <v>3000</v>
      </c>
      <c r="M423" s="250">
        <v>6.3E-3</v>
      </c>
      <c r="N423" s="230"/>
      <c r="O423" s="100">
        <f t="shared" si="4"/>
        <v>18.899999999999999</v>
      </c>
      <c r="P423" s="101"/>
      <c r="Q423" s="241"/>
      <c r="R423" s="233"/>
    </row>
    <row r="424" spans="1:18" ht="18" customHeight="1">
      <c r="A424" s="159">
        <v>0</v>
      </c>
      <c r="B424" s="160"/>
      <c r="C424" s="227"/>
      <c r="D424" s="227"/>
      <c r="E424" s="228"/>
      <c r="F424" s="265" t="s">
        <v>415</v>
      </c>
      <c r="G424" s="160"/>
      <c r="H424" s="229"/>
      <c r="I424" s="229"/>
      <c r="J424" s="229"/>
      <c r="K424" s="229"/>
      <c r="L424" s="157">
        <v>1500</v>
      </c>
      <c r="M424" s="250">
        <v>4.7000000000000002E-3</v>
      </c>
      <c r="N424" s="230"/>
      <c r="O424" s="100">
        <f t="shared" si="4"/>
        <v>7.0500000000000007</v>
      </c>
      <c r="P424" s="101"/>
      <c r="Q424" s="241"/>
      <c r="R424" s="233"/>
    </row>
    <row r="425" spans="1:18" ht="18" customHeight="1">
      <c r="A425" s="159">
        <v>0</v>
      </c>
      <c r="B425" s="160"/>
      <c r="C425" s="227"/>
      <c r="D425" s="227"/>
      <c r="E425" s="228"/>
      <c r="F425" s="265" t="s">
        <v>262</v>
      </c>
      <c r="G425" s="160"/>
      <c r="H425" s="229"/>
      <c r="I425" s="229"/>
      <c r="J425" s="229"/>
      <c r="K425" s="229"/>
      <c r="L425" s="157">
        <v>10500</v>
      </c>
      <c r="M425" s="250">
        <v>4.7000000000000002E-3</v>
      </c>
      <c r="N425" s="230"/>
      <c r="O425" s="100">
        <f t="shared" si="4"/>
        <v>49.35</v>
      </c>
      <c r="P425" s="101"/>
      <c r="Q425" s="241"/>
      <c r="R425" s="233"/>
    </row>
    <row r="426" spans="1:18" ht="18" customHeight="1">
      <c r="A426" s="159">
        <v>0</v>
      </c>
      <c r="B426" s="160"/>
      <c r="C426" s="227"/>
      <c r="D426" s="227"/>
      <c r="E426" s="228"/>
      <c r="F426" s="265" t="s">
        <v>673</v>
      </c>
      <c r="G426" s="160"/>
      <c r="H426" s="229"/>
      <c r="I426" s="229"/>
      <c r="J426" s="229"/>
      <c r="K426" s="229"/>
      <c r="L426" s="157">
        <v>9000</v>
      </c>
      <c r="M426" s="250">
        <v>1.17E-2</v>
      </c>
      <c r="N426" s="230"/>
      <c r="O426" s="100">
        <f t="shared" si="4"/>
        <v>105.3</v>
      </c>
      <c r="P426" s="101"/>
      <c r="Q426" s="241"/>
      <c r="R426" s="233"/>
    </row>
    <row r="427" spans="1:18" ht="18" customHeight="1">
      <c r="A427" s="159">
        <v>0</v>
      </c>
      <c r="B427" s="160"/>
      <c r="C427" s="227"/>
      <c r="D427" s="227"/>
      <c r="E427" s="228"/>
      <c r="F427" s="265" t="s">
        <v>424</v>
      </c>
      <c r="G427" s="160"/>
      <c r="H427" s="229"/>
      <c r="I427" s="229"/>
      <c r="J427" s="229"/>
      <c r="K427" s="229"/>
      <c r="L427" s="157">
        <v>27000</v>
      </c>
      <c r="M427" s="250">
        <v>6.3E-3</v>
      </c>
      <c r="N427" s="230"/>
      <c r="O427" s="100">
        <f t="shared" si="4"/>
        <v>170.1</v>
      </c>
      <c r="P427" s="101"/>
      <c r="Q427" s="241"/>
      <c r="R427" s="233"/>
    </row>
    <row r="428" spans="1:18" ht="18" customHeight="1">
      <c r="A428" s="159">
        <v>0</v>
      </c>
      <c r="B428" s="160"/>
      <c r="C428" s="227"/>
      <c r="D428" s="227"/>
      <c r="E428" s="228"/>
      <c r="F428" s="265" t="s">
        <v>262</v>
      </c>
      <c r="G428" s="160"/>
      <c r="H428" s="229"/>
      <c r="I428" s="229"/>
      <c r="J428" s="229"/>
      <c r="K428" s="229"/>
      <c r="L428" s="157">
        <v>4500</v>
      </c>
      <c r="M428" s="250">
        <v>4.7000000000000002E-3</v>
      </c>
      <c r="N428" s="230"/>
      <c r="O428" s="100">
        <f t="shared" si="4"/>
        <v>21.150000000000002</v>
      </c>
      <c r="P428" s="101"/>
      <c r="Q428" s="241"/>
      <c r="R428" s="233"/>
    </row>
    <row r="429" spans="1:18" ht="18" customHeight="1">
      <c r="A429" s="159">
        <v>0</v>
      </c>
      <c r="B429" s="160"/>
      <c r="C429" s="227"/>
      <c r="D429" s="227"/>
      <c r="E429" s="228"/>
      <c r="F429" s="265" t="s">
        <v>261</v>
      </c>
      <c r="G429" s="160"/>
      <c r="H429" s="229"/>
      <c r="I429" s="229"/>
      <c r="J429" s="229"/>
      <c r="K429" s="229"/>
      <c r="L429" s="157">
        <v>12000</v>
      </c>
      <c r="M429" s="250">
        <v>4.7000000000000002E-3</v>
      </c>
      <c r="N429" s="230"/>
      <c r="O429" s="100">
        <f t="shared" si="4"/>
        <v>56.400000000000006</v>
      </c>
      <c r="P429" s="101"/>
      <c r="Q429" s="241"/>
      <c r="R429" s="233"/>
    </row>
    <row r="430" spans="1:18" ht="18" customHeight="1">
      <c r="A430" s="159">
        <v>0</v>
      </c>
      <c r="B430" s="160"/>
      <c r="C430" s="227"/>
      <c r="D430" s="227"/>
      <c r="E430" s="228"/>
      <c r="F430" s="265" t="s">
        <v>260</v>
      </c>
      <c r="G430" s="160"/>
      <c r="H430" s="229"/>
      <c r="I430" s="229"/>
      <c r="J430" s="229"/>
      <c r="K430" s="229"/>
      <c r="L430" s="157">
        <v>18000</v>
      </c>
      <c r="M430" s="250">
        <v>4.7000000000000002E-3</v>
      </c>
      <c r="N430" s="230"/>
      <c r="O430" s="100">
        <f t="shared" si="4"/>
        <v>84.600000000000009</v>
      </c>
      <c r="P430" s="101"/>
      <c r="Q430" s="241"/>
      <c r="R430" s="233"/>
    </row>
    <row r="431" spans="1:18" ht="18" customHeight="1">
      <c r="A431" s="159">
        <v>0</v>
      </c>
      <c r="B431" s="160"/>
      <c r="C431" s="227"/>
      <c r="D431" s="227"/>
      <c r="E431" s="228"/>
      <c r="F431" s="265" t="s">
        <v>430</v>
      </c>
      <c r="G431" s="160"/>
      <c r="H431" s="229"/>
      <c r="I431" s="229"/>
      <c r="J431" s="229"/>
      <c r="K431" s="229"/>
      <c r="L431" s="157">
        <v>13500</v>
      </c>
      <c r="M431" s="250">
        <v>4.7000000000000002E-3</v>
      </c>
      <c r="N431" s="230"/>
      <c r="O431" s="100">
        <f t="shared" si="4"/>
        <v>63.45</v>
      </c>
      <c r="P431" s="101"/>
      <c r="Q431" s="241"/>
      <c r="R431" s="233"/>
    </row>
    <row r="432" spans="1:18" ht="18" customHeight="1">
      <c r="A432" s="159">
        <v>0</v>
      </c>
      <c r="B432" s="160"/>
      <c r="C432" s="227"/>
      <c r="D432" s="227"/>
      <c r="E432" s="228"/>
      <c r="F432" s="265" t="s">
        <v>253</v>
      </c>
      <c r="G432" s="160"/>
      <c r="H432" s="229"/>
      <c r="I432" s="229"/>
      <c r="J432" s="229"/>
      <c r="K432" s="229"/>
      <c r="L432" s="157">
        <v>9000</v>
      </c>
      <c r="M432" s="250">
        <v>9.2999999999999992E-3</v>
      </c>
      <c r="N432" s="230"/>
      <c r="O432" s="100">
        <f t="shared" si="4"/>
        <v>83.699999999999989</v>
      </c>
      <c r="P432" s="101"/>
      <c r="Q432" s="241"/>
      <c r="R432" s="233"/>
    </row>
    <row r="433" spans="1:18" ht="18" customHeight="1">
      <c r="A433" s="159">
        <v>0</v>
      </c>
      <c r="B433" s="160"/>
      <c r="C433" s="227"/>
      <c r="D433" s="227"/>
      <c r="E433" s="228"/>
      <c r="F433" s="265" t="s">
        <v>252</v>
      </c>
      <c r="G433" s="160"/>
      <c r="H433" s="229"/>
      <c r="I433" s="229"/>
      <c r="J433" s="229"/>
      <c r="K433" s="229"/>
      <c r="L433" s="157">
        <v>15000</v>
      </c>
      <c r="M433" s="250">
        <v>9.2999999999999992E-3</v>
      </c>
      <c r="N433" s="230"/>
      <c r="O433" s="100">
        <f t="shared" si="4"/>
        <v>139.5</v>
      </c>
      <c r="P433" s="101"/>
      <c r="Q433" s="241"/>
      <c r="R433" s="233"/>
    </row>
    <row r="434" spans="1:18" ht="18" customHeight="1">
      <c r="A434" s="159">
        <v>0</v>
      </c>
      <c r="B434" s="160"/>
      <c r="C434" s="227"/>
      <c r="D434" s="227"/>
      <c r="E434" s="228"/>
      <c r="F434" s="265" t="s">
        <v>245</v>
      </c>
      <c r="G434" s="160"/>
      <c r="H434" s="229"/>
      <c r="I434" s="229"/>
      <c r="J434" s="229"/>
      <c r="K434" s="229"/>
      <c r="L434" s="157">
        <v>14000</v>
      </c>
      <c r="M434" s="250">
        <v>9.2999999999999992E-3</v>
      </c>
      <c r="N434" s="230"/>
      <c r="O434" s="100">
        <f t="shared" si="4"/>
        <v>130.19999999999999</v>
      </c>
      <c r="P434" s="101"/>
      <c r="Q434" s="241"/>
      <c r="R434" s="233"/>
    </row>
    <row r="435" spans="1:18" ht="18" customHeight="1">
      <c r="A435" s="159">
        <v>0</v>
      </c>
      <c r="B435" s="160"/>
      <c r="C435" s="227"/>
      <c r="D435" s="227"/>
      <c r="E435" s="228"/>
      <c r="F435" s="265" t="s">
        <v>534</v>
      </c>
      <c r="G435" s="160"/>
      <c r="H435" s="229"/>
      <c r="I435" s="229"/>
      <c r="J435" s="229"/>
      <c r="K435" s="229"/>
      <c r="L435" s="157">
        <v>13000</v>
      </c>
      <c r="M435" s="250">
        <v>6.3E-3</v>
      </c>
      <c r="N435" s="230"/>
      <c r="O435" s="100">
        <f t="shared" si="4"/>
        <v>81.900000000000006</v>
      </c>
      <c r="P435" s="101"/>
      <c r="Q435" s="241"/>
      <c r="R435" s="233"/>
    </row>
    <row r="436" spans="1:18" ht="18" customHeight="1">
      <c r="A436" s="159">
        <v>0</v>
      </c>
      <c r="B436" s="160"/>
      <c r="C436" s="227"/>
      <c r="D436" s="227"/>
      <c r="E436" s="228"/>
      <c r="F436" s="265" t="s">
        <v>427</v>
      </c>
      <c r="G436" s="160"/>
      <c r="H436" s="229"/>
      <c r="I436" s="229"/>
      <c r="J436" s="229"/>
      <c r="K436" s="229"/>
      <c r="L436" s="157">
        <v>3000</v>
      </c>
      <c r="M436" s="250">
        <v>6.3E-3</v>
      </c>
      <c r="N436" s="230"/>
      <c r="O436" s="100">
        <f t="shared" si="4"/>
        <v>18.899999999999999</v>
      </c>
      <c r="P436" s="101"/>
      <c r="Q436" s="241"/>
      <c r="R436" s="233"/>
    </row>
    <row r="437" spans="1:18" ht="18" customHeight="1">
      <c r="A437" s="159">
        <v>0</v>
      </c>
      <c r="B437" s="160"/>
      <c r="C437" s="227"/>
      <c r="D437" s="227"/>
      <c r="E437" s="228"/>
      <c r="F437" s="265" t="s">
        <v>242</v>
      </c>
      <c r="G437" s="160"/>
      <c r="H437" s="229"/>
      <c r="I437" s="229"/>
      <c r="J437" s="229"/>
      <c r="K437" s="229"/>
      <c r="L437" s="157">
        <v>8000</v>
      </c>
      <c r="M437" s="250">
        <v>9.2999999999999992E-3</v>
      </c>
      <c r="N437" s="230"/>
      <c r="O437" s="100">
        <f t="shared" si="4"/>
        <v>74.399999999999991</v>
      </c>
      <c r="P437" s="101"/>
      <c r="Q437" s="241"/>
      <c r="R437" s="233"/>
    </row>
    <row r="438" spans="1:18" ht="18" customHeight="1">
      <c r="A438" s="159">
        <v>0</v>
      </c>
      <c r="B438" s="160"/>
      <c r="C438" s="227"/>
      <c r="D438" s="227"/>
      <c r="E438" s="228"/>
      <c r="F438" s="265" t="s">
        <v>243</v>
      </c>
      <c r="G438" s="160"/>
      <c r="H438" s="229"/>
      <c r="I438" s="229"/>
      <c r="J438" s="229"/>
      <c r="K438" s="229"/>
      <c r="L438" s="157">
        <v>8000</v>
      </c>
      <c r="M438" s="250">
        <v>9.2999999999999992E-3</v>
      </c>
      <c r="N438" s="230"/>
      <c r="O438" s="100">
        <f t="shared" si="4"/>
        <v>74.399999999999991</v>
      </c>
      <c r="P438" s="101"/>
      <c r="Q438" s="241"/>
      <c r="R438" s="233"/>
    </row>
    <row r="439" spans="1:18" ht="18" customHeight="1">
      <c r="A439" s="159">
        <v>0</v>
      </c>
      <c r="B439" s="160"/>
      <c r="C439" s="227"/>
      <c r="D439" s="227"/>
      <c r="E439" s="228"/>
      <c r="F439" s="265" t="s">
        <v>244</v>
      </c>
      <c r="G439" s="160"/>
      <c r="H439" s="229"/>
      <c r="I439" s="229"/>
      <c r="J439" s="229"/>
      <c r="K439" s="229"/>
      <c r="L439" s="157">
        <v>3000</v>
      </c>
      <c r="M439" s="250">
        <v>9.2999999999999992E-3</v>
      </c>
      <c r="N439" s="230"/>
      <c r="O439" s="100">
        <f t="shared" si="4"/>
        <v>27.9</v>
      </c>
      <c r="P439" s="101"/>
      <c r="Q439" s="241"/>
      <c r="R439" s="233"/>
    </row>
    <row r="440" spans="1:18" ht="18" customHeight="1">
      <c r="A440" s="159">
        <v>0</v>
      </c>
      <c r="B440" s="160"/>
      <c r="C440" s="227"/>
      <c r="D440" s="227"/>
      <c r="E440" s="228"/>
      <c r="F440" s="265" t="s">
        <v>246</v>
      </c>
      <c r="G440" s="160"/>
      <c r="H440" s="229"/>
      <c r="I440" s="229"/>
      <c r="J440" s="229"/>
      <c r="K440" s="229"/>
      <c r="L440" s="157">
        <v>20000</v>
      </c>
      <c r="M440" s="250">
        <v>9.2999999999999992E-3</v>
      </c>
      <c r="N440" s="230"/>
      <c r="O440" s="100">
        <f t="shared" si="4"/>
        <v>185.99999999999997</v>
      </c>
      <c r="P440" s="101"/>
      <c r="Q440" s="241"/>
      <c r="R440" s="233"/>
    </row>
    <row r="441" spans="1:18" ht="18" customHeight="1">
      <c r="A441" s="159">
        <v>0</v>
      </c>
      <c r="B441" s="160"/>
      <c r="C441" s="227"/>
      <c r="D441" s="227"/>
      <c r="E441" s="228"/>
      <c r="F441" s="265" t="s">
        <v>533</v>
      </c>
      <c r="G441" s="160"/>
      <c r="H441" s="229"/>
      <c r="I441" s="229"/>
      <c r="J441" s="229"/>
      <c r="K441" s="229"/>
      <c r="L441" s="157">
        <v>1000</v>
      </c>
      <c r="M441" s="250">
        <v>6.3E-3</v>
      </c>
      <c r="N441" s="230"/>
      <c r="O441" s="100">
        <f t="shared" si="4"/>
        <v>6.3</v>
      </c>
      <c r="P441" s="101"/>
      <c r="Q441" s="241"/>
      <c r="R441" s="233"/>
    </row>
    <row r="442" spans="1:18" ht="18" customHeight="1">
      <c r="A442" s="159">
        <v>0</v>
      </c>
      <c r="B442" s="160"/>
      <c r="C442" s="227"/>
      <c r="D442" s="227"/>
      <c r="E442" s="228"/>
      <c r="F442" s="265" t="s">
        <v>534</v>
      </c>
      <c r="G442" s="160"/>
      <c r="H442" s="229"/>
      <c r="I442" s="229"/>
      <c r="J442" s="229"/>
      <c r="K442" s="229"/>
      <c r="L442" s="157">
        <v>13000</v>
      </c>
      <c r="M442" s="250">
        <v>6.3E-3</v>
      </c>
      <c r="N442" s="230"/>
      <c r="O442" s="100">
        <f t="shared" si="4"/>
        <v>81.900000000000006</v>
      </c>
      <c r="P442" s="101"/>
      <c r="Q442" s="241"/>
      <c r="R442" s="233"/>
    </row>
    <row r="443" spans="1:18" ht="18" customHeight="1">
      <c r="A443" s="159">
        <v>0</v>
      </c>
      <c r="B443" s="160"/>
      <c r="C443" s="227"/>
      <c r="D443" s="227"/>
      <c r="E443" s="228"/>
      <c r="F443" s="265" t="s">
        <v>416</v>
      </c>
      <c r="G443" s="160"/>
      <c r="H443" s="229"/>
      <c r="I443" s="229"/>
      <c r="J443" s="229"/>
      <c r="K443" s="229"/>
      <c r="L443" s="157">
        <v>24000</v>
      </c>
      <c r="M443" s="250">
        <v>4.7000000000000002E-3</v>
      </c>
      <c r="N443" s="230"/>
      <c r="O443" s="100">
        <f t="shared" si="4"/>
        <v>112.80000000000001</v>
      </c>
      <c r="P443" s="101"/>
      <c r="Q443" s="241"/>
      <c r="R443" s="233"/>
    </row>
    <row r="444" spans="1:18" ht="18" customHeight="1">
      <c r="A444" s="159">
        <v>0</v>
      </c>
      <c r="B444" s="160"/>
      <c r="C444" s="227"/>
      <c r="D444" s="227"/>
      <c r="E444" s="228"/>
      <c r="F444" s="265" t="s">
        <v>258</v>
      </c>
      <c r="G444" s="160"/>
      <c r="H444" s="229"/>
      <c r="I444" s="229"/>
      <c r="J444" s="229"/>
      <c r="K444" s="229"/>
      <c r="L444" s="157">
        <v>33000</v>
      </c>
      <c r="M444" s="250">
        <v>4.7000000000000002E-3</v>
      </c>
      <c r="N444" s="230"/>
      <c r="O444" s="100">
        <f t="shared" si="4"/>
        <v>155.1</v>
      </c>
      <c r="P444" s="101"/>
      <c r="Q444" s="241"/>
      <c r="R444" s="233"/>
    </row>
    <row r="445" spans="1:18" ht="18" customHeight="1">
      <c r="A445" s="159">
        <v>0</v>
      </c>
      <c r="B445" s="160"/>
      <c r="C445" s="227"/>
      <c r="D445" s="227"/>
      <c r="E445" s="228"/>
      <c r="F445" s="265" t="s">
        <v>426</v>
      </c>
      <c r="G445" s="160"/>
      <c r="H445" s="229"/>
      <c r="I445" s="229"/>
      <c r="J445" s="229"/>
      <c r="K445" s="229"/>
      <c r="L445" s="157">
        <v>9000</v>
      </c>
      <c r="M445" s="250">
        <v>6.3E-3</v>
      </c>
      <c r="N445" s="230"/>
      <c r="O445" s="100">
        <f t="shared" si="4"/>
        <v>56.7</v>
      </c>
      <c r="P445" s="101"/>
      <c r="Q445" s="241"/>
      <c r="R445" s="233"/>
    </row>
    <row r="446" spans="1:18" ht="18" customHeight="1">
      <c r="A446" s="159">
        <v>0</v>
      </c>
      <c r="B446" s="160"/>
      <c r="C446" s="227"/>
      <c r="D446" s="227"/>
      <c r="E446" s="228"/>
      <c r="F446" s="265" t="s">
        <v>351</v>
      </c>
      <c r="G446" s="160"/>
      <c r="H446" s="229"/>
      <c r="I446" s="229"/>
      <c r="J446" s="229"/>
      <c r="K446" s="229"/>
      <c r="L446" s="157">
        <v>1000</v>
      </c>
      <c r="M446" s="250">
        <v>9.2999999999999992E-3</v>
      </c>
      <c r="N446" s="230"/>
      <c r="O446" s="100">
        <f t="shared" si="4"/>
        <v>9.2999999999999989</v>
      </c>
      <c r="P446" s="101"/>
      <c r="Q446" s="241"/>
      <c r="R446" s="233"/>
    </row>
    <row r="447" spans="1:18" ht="18" customHeight="1">
      <c r="A447" s="159">
        <v>0</v>
      </c>
      <c r="B447" s="160"/>
      <c r="C447" s="227"/>
      <c r="D447" s="227"/>
      <c r="E447" s="228"/>
      <c r="F447" s="265" t="s">
        <v>672</v>
      </c>
      <c r="G447" s="160"/>
      <c r="H447" s="229"/>
      <c r="I447" s="229"/>
      <c r="J447" s="229"/>
      <c r="K447" s="229"/>
      <c r="L447" s="157">
        <v>4000</v>
      </c>
      <c r="M447" s="250">
        <v>6.3E-3</v>
      </c>
      <c r="N447" s="230"/>
      <c r="O447" s="100">
        <f t="shared" si="4"/>
        <v>25.2</v>
      </c>
      <c r="P447" s="101"/>
      <c r="Q447" s="241"/>
      <c r="R447" s="233"/>
    </row>
    <row r="448" spans="1:18" ht="18" customHeight="1">
      <c r="A448" s="159">
        <v>0</v>
      </c>
      <c r="B448" s="160"/>
      <c r="C448" s="227"/>
      <c r="D448" s="227"/>
      <c r="E448" s="228"/>
      <c r="F448" s="265" t="s">
        <v>675</v>
      </c>
      <c r="G448" s="160"/>
      <c r="H448" s="229"/>
      <c r="I448" s="229"/>
      <c r="J448" s="229"/>
      <c r="K448" s="229"/>
      <c r="L448" s="157">
        <v>3000</v>
      </c>
      <c r="M448" s="250">
        <v>6.3E-3</v>
      </c>
      <c r="N448" s="230"/>
      <c r="O448" s="100">
        <f t="shared" si="4"/>
        <v>18.899999999999999</v>
      </c>
      <c r="P448" s="101"/>
      <c r="Q448" s="241"/>
      <c r="R448" s="233"/>
    </row>
    <row r="449" spans="1:18" ht="18" customHeight="1">
      <c r="A449" s="159">
        <v>0</v>
      </c>
      <c r="B449" s="160"/>
      <c r="C449" s="227"/>
      <c r="D449" s="227"/>
      <c r="E449" s="228"/>
      <c r="F449" s="265" t="s">
        <v>417</v>
      </c>
      <c r="G449" s="160"/>
      <c r="H449" s="229"/>
      <c r="I449" s="229"/>
      <c r="J449" s="229"/>
      <c r="K449" s="229"/>
      <c r="L449" s="157">
        <v>9000</v>
      </c>
      <c r="M449" s="250">
        <v>6.3E-3</v>
      </c>
      <c r="N449" s="230"/>
      <c r="O449" s="100">
        <f t="shared" si="4"/>
        <v>56.7</v>
      </c>
      <c r="P449" s="101"/>
      <c r="Q449" s="241"/>
      <c r="R449" s="233"/>
    </row>
    <row r="450" spans="1:18" ht="18" customHeight="1">
      <c r="A450" s="159">
        <v>0</v>
      </c>
      <c r="B450" s="160"/>
      <c r="C450" s="227"/>
      <c r="D450" s="227"/>
      <c r="E450" s="228"/>
      <c r="F450" s="265" t="s">
        <v>532</v>
      </c>
      <c r="G450" s="160"/>
      <c r="H450" s="229"/>
      <c r="I450" s="229"/>
      <c r="J450" s="229"/>
      <c r="K450" s="229"/>
      <c r="L450" s="157">
        <v>10000</v>
      </c>
      <c r="M450" s="250">
        <v>6.3E-3</v>
      </c>
      <c r="N450" s="230"/>
      <c r="O450" s="100">
        <f t="shared" si="4"/>
        <v>63</v>
      </c>
      <c r="P450" s="101"/>
      <c r="Q450" s="241"/>
      <c r="R450" s="233"/>
    </row>
    <row r="451" spans="1:18" ht="18" customHeight="1">
      <c r="A451" s="159">
        <v>0</v>
      </c>
      <c r="B451" s="160"/>
      <c r="C451" s="227"/>
      <c r="D451" s="227"/>
      <c r="E451" s="228"/>
      <c r="F451" s="265" t="s">
        <v>535</v>
      </c>
      <c r="G451" s="160"/>
      <c r="H451" s="229"/>
      <c r="I451" s="229"/>
      <c r="J451" s="229"/>
      <c r="K451" s="229"/>
      <c r="L451" s="157">
        <v>14000</v>
      </c>
      <c r="M451" s="250">
        <v>6.3E-3</v>
      </c>
      <c r="N451" s="230"/>
      <c r="O451" s="100">
        <f t="shared" si="4"/>
        <v>88.2</v>
      </c>
      <c r="P451" s="101"/>
      <c r="Q451" s="241"/>
      <c r="R451" s="233"/>
    </row>
    <row r="452" spans="1:18" ht="18" customHeight="1">
      <c r="A452" s="159">
        <v>0</v>
      </c>
      <c r="B452" s="160"/>
      <c r="C452" s="227"/>
      <c r="D452" s="227"/>
      <c r="E452" s="228"/>
      <c r="F452" s="265" t="s">
        <v>429</v>
      </c>
      <c r="G452" s="160"/>
      <c r="H452" s="229"/>
      <c r="I452" s="229"/>
      <c r="J452" s="229"/>
      <c r="K452" s="229"/>
      <c r="L452" s="157">
        <v>23000</v>
      </c>
      <c r="M452" s="250">
        <v>6.3E-3</v>
      </c>
      <c r="N452" s="230"/>
      <c r="O452" s="100">
        <f t="shared" si="4"/>
        <v>144.9</v>
      </c>
      <c r="P452" s="101"/>
      <c r="Q452" s="241"/>
      <c r="R452" s="233"/>
    </row>
    <row r="453" spans="1:18" ht="18" customHeight="1">
      <c r="A453" s="159">
        <v>0</v>
      </c>
      <c r="B453" s="160"/>
      <c r="C453" s="227"/>
      <c r="D453" s="227"/>
      <c r="E453" s="228"/>
      <c r="F453" s="265" t="s">
        <v>255</v>
      </c>
      <c r="G453" s="160"/>
      <c r="H453" s="229"/>
      <c r="I453" s="229"/>
      <c r="J453" s="229"/>
      <c r="K453" s="229"/>
      <c r="L453" s="157">
        <v>15000</v>
      </c>
      <c r="M453" s="250">
        <v>6.3E-3</v>
      </c>
      <c r="N453" s="230"/>
      <c r="O453" s="100">
        <f t="shared" si="4"/>
        <v>94.5</v>
      </c>
      <c r="P453" s="101"/>
      <c r="Q453" s="241"/>
      <c r="R453" s="233"/>
    </row>
    <row r="454" spans="1:18" ht="18" customHeight="1">
      <c r="A454" s="159">
        <v>0</v>
      </c>
      <c r="B454" s="160"/>
      <c r="C454" s="227"/>
      <c r="D454" s="227"/>
      <c r="E454" s="228"/>
      <c r="F454" s="265" t="s">
        <v>430</v>
      </c>
      <c r="G454" s="160"/>
      <c r="H454" s="229"/>
      <c r="I454" s="229"/>
      <c r="J454" s="229"/>
      <c r="K454" s="229"/>
      <c r="L454" s="157">
        <v>10500</v>
      </c>
      <c r="M454" s="250">
        <v>4.7000000000000002E-3</v>
      </c>
      <c r="N454" s="230"/>
      <c r="O454" s="100">
        <f t="shared" si="4"/>
        <v>49.35</v>
      </c>
      <c r="P454" s="101"/>
      <c r="Q454" s="241"/>
      <c r="R454" s="233"/>
    </row>
    <row r="455" spans="1:18" ht="18" customHeight="1">
      <c r="A455" s="159">
        <v>0</v>
      </c>
      <c r="B455" s="160"/>
      <c r="C455" s="227"/>
      <c r="D455" s="227"/>
      <c r="E455" s="228"/>
      <c r="F455" s="265" t="s">
        <v>645</v>
      </c>
      <c r="G455" s="160"/>
      <c r="H455" s="229"/>
      <c r="I455" s="229"/>
      <c r="J455" s="229"/>
      <c r="K455" s="229"/>
      <c r="L455" s="157">
        <v>7500</v>
      </c>
      <c r="M455" s="250">
        <v>4.7000000000000002E-3</v>
      </c>
      <c r="N455" s="230"/>
      <c r="O455" s="100">
        <f t="shared" si="4"/>
        <v>35.25</v>
      </c>
      <c r="P455" s="101"/>
      <c r="Q455" s="241"/>
      <c r="R455" s="233"/>
    </row>
    <row r="456" spans="1:18" ht="18" customHeight="1">
      <c r="A456" s="159">
        <v>0</v>
      </c>
      <c r="B456" s="160"/>
      <c r="C456" s="227"/>
      <c r="D456" s="227"/>
      <c r="E456" s="228"/>
      <c r="F456" s="265" t="s">
        <v>642</v>
      </c>
      <c r="G456" s="160"/>
      <c r="H456" s="229"/>
      <c r="I456" s="229"/>
      <c r="J456" s="229"/>
      <c r="K456" s="229"/>
      <c r="L456" s="157">
        <v>65000</v>
      </c>
      <c r="M456" s="250"/>
      <c r="N456" s="230"/>
      <c r="O456" s="100"/>
      <c r="P456" s="101"/>
      <c r="Q456" s="241"/>
      <c r="R456" s="233"/>
    </row>
    <row r="457" spans="1:18" ht="18" customHeight="1">
      <c r="A457" s="159"/>
      <c r="B457" s="160"/>
      <c r="C457" s="227"/>
      <c r="D457" s="227"/>
      <c r="E457" s="228"/>
      <c r="F457" s="265"/>
      <c r="G457" s="160"/>
      <c r="H457" s="229"/>
      <c r="I457" s="229"/>
      <c r="J457" s="229"/>
      <c r="K457" s="229"/>
      <c r="L457" s="157"/>
      <c r="M457" s="250"/>
      <c r="N457" s="230"/>
      <c r="O457" s="100"/>
      <c r="P457" s="101"/>
      <c r="Q457" s="241"/>
      <c r="R457" s="233"/>
    </row>
    <row r="458" spans="1:18" ht="18" customHeight="1">
      <c r="A458" s="159"/>
      <c r="B458" s="160"/>
      <c r="C458" s="227"/>
      <c r="D458" s="227"/>
      <c r="E458" s="228"/>
      <c r="F458" s="265"/>
      <c r="G458" s="160"/>
      <c r="H458" s="229"/>
      <c r="I458" s="229"/>
      <c r="J458" s="229"/>
      <c r="K458" s="229"/>
      <c r="L458" s="157"/>
      <c r="M458" s="250"/>
      <c r="N458" s="230"/>
      <c r="O458" s="100"/>
      <c r="P458" s="101"/>
      <c r="Q458" s="241"/>
      <c r="R458" s="233"/>
    </row>
    <row r="459" spans="1:18" ht="18" customHeight="1">
      <c r="A459" s="159"/>
      <c r="B459" s="160"/>
      <c r="C459" s="227"/>
      <c r="D459" s="227"/>
      <c r="E459" s="228"/>
      <c r="F459" s="265"/>
      <c r="G459" s="160"/>
      <c r="H459" s="229"/>
      <c r="I459" s="229"/>
      <c r="J459" s="229"/>
      <c r="K459" s="229"/>
      <c r="L459" s="157"/>
      <c r="M459" s="250"/>
      <c r="N459" s="230"/>
      <c r="O459" s="100"/>
      <c r="P459" s="101"/>
      <c r="Q459" s="241"/>
      <c r="R459" s="233"/>
    </row>
    <row r="460" spans="1:18" ht="18" customHeight="1">
      <c r="A460" s="159"/>
      <c r="B460" s="160"/>
      <c r="C460" s="227"/>
      <c r="D460" s="227"/>
      <c r="E460" s="228"/>
      <c r="F460" s="265"/>
      <c r="G460" s="160"/>
      <c r="H460" s="229"/>
      <c r="I460" s="229"/>
      <c r="J460" s="229"/>
      <c r="K460" s="229"/>
      <c r="L460" s="157"/>
      <c r="M460" s="250"/>
      <c r="N460" s="230"/>
      <c r="O460" s="100"/>
      <c r="P460" s="101"/>
      <c r="Q460" s="241"/>
      <c r="R460" s="233"/>
    </row>
    <row r="461" spans="1:18" ht="18" customHeight="1">
      <c r="A461" s="159"/>
      <c r="B461" s="160"/>
      <c r="C461" s="227"/>
      <c r="D461" s="227"/>
      <c r="E461" s="228"/>
      <c r="F461" s="265"/>
      <c r="G461" s="160"/>
      <c r="H461" s="229"/>
      <c r="I461" s="229"/>
      <c r="J461" s="229"/>
      <c r="K461" s="229"/>
      <c r="L461" s="157"/>
      <c r="M461" s="250"/>
      <c r="N461" s="230"/>
      <c r="O461" s="100"/>
      <c r="P461" s="101"/>
      <c r="Q461" s="241"/>
      <c r="R461" s="233"/>
    </row>
    <row r="462" spans="1:18" ht="18" customHeight="1">
      <c r="A462" s="159"/>
      <c r="B462" s="160"/>
      <c r="C462" s="227"/>
      <c r="D462" s="227"/>
      <c r="E462" s="228"/>
      <c r="F462" s="265"/>
      <c r="G462" s="160"/>
      <c r="H462" s="229"/>
      <c r="I462" s="229"/>
      <c r="J462" s="229"/>
      <c r="K462" s="229"/>
      <c r="L462" s="157"/>
      <c r="M462" s="250"/>
      <c r="N462" s="230"/>
      <c r="O462" s="100"/>
      <c r="P462" s="101"/>
      <c r="Q462" s="241"/>
      <c r="R462" s="233"/>
    </row>
    <row r="463" spans="1:18" ht="18" customHeight="1">
      <c r="A463" s="159"/>
      <c r="B463" s="160"/>
      <c r="C463" s="227"/>
      <c r="D463" s="227"/>
      <c r="E463" s="228"/>
      <c r="F463" s="265"/>
      <c r="G463" s="160"/>
      <c r="H463" s="229"/>
      <c r="I463" s="229"/>
      <c r="J463" s="229"/>
      <c r="K463" s="229"/>
      <c r="L463" s="157"/>
      <c r="M463" s="250"/>
      <c r="N463" s="230"/>
      <c r="O463" s="270"/>
      <c r="P463" s="101"/>
      <c r="Q463" s="241"/>
      <c r="R463" s="233"/>
    </row>
    <row r="464" spans="1:18" ht="18" customHeight="1">
      <c r="A464" s="159"/>
      <c r="B464" s="160"/>
      <c r="C464" s="227"/>
      <c r="D464" s="227"/>
      <c r="E464" s="228"/>
      <c r="F464" s="265"/>
      <c r="G464" s="160"/>
      <c r="H464" s="229"/>
      <c r="I464" s="229"/>
      <c r="J464" s="229"/>
      <c r="K464" s="229"/>
      <c r="L464" s="157"/>
      <c r="M464" s="250"/>
      <c r="N464" s="230"/>
      <c r="O464" s="270"/>
      <c r="P464" s="101"/>
      <c r="Q464" s="241"/>
      <c r="R464" s="233"/>
    </row>
    <row r="465" spans="1:18" ht="18" customHeight="1">
      <c r="A465" s="159"/>
      <c r="B465" s="160"/>
      <c r="C465" s="227"/>
      <c r="D465" s="227"/>
      <c r="E465" s="228"/>
      <c r="F465" s="159"/>
      <c r="G465" s="160"/>
      <c r="H465" s="229"/>
      <c r="I465" s="229"/>
      <c r="J465" s="229"/>
      <c r="K465" s="229"/>
      <c r="L465" s="157"/>
      <c r="M465" s="247"/>
      <c r="N465" s="230"/>
      <c r="O465" s="231"/>
      <c r="P465" s="101"/>
      <c r="Q465" s="232"/>
      <c r="R465" s="233"/>
    </row>
    <row r="466" spans="1:18" ht="18" customHeight="1">
      <c r="A466" s="159"/>
      <c r="B466" s="95"/>
      <c r="C466" s="95"/>
      <c r="D466" s="95"/>
      <c r="E466" s="96"/>
      <c r="F466" s="97"/>
      <c r="G466" s="98"/>
      <c r="H466" s="98"/>
      <c r="I466" s="98"/>
      <c r="J466" s="98"/>
      <c r="K466" s="98"/>
      <c r="L466" s="162">
        <f>SUM(L26:L465)</f>
        <v>4988865</v>
      </c>
      <c r="M466" s="248"/>
      <c r="N466" s="268">
        <v>37</v>
      </c>
      <c r="O466" s="269">
        <v>14445</v>
      </c>
      <c r="P466" s="269">
        <v>14852</v>
      </c>
      <c r="Q466" s="361"/>
      <c r="R466" s="362"/>
    </row>
    <row r="467" spans="1:18" ht="22.5" customHeight="1">
      <c r="A467" s="159"/>
      <c r="B467" s="214"/>
      <c r="C467" s="214"/>
      <c r="D467" s="214"/>
      <c r="E467" s="214"/>
      <c r="F467" s="348"/>
      <c r="G467" s="349"/>
      <c r="H467" s="349"/>
      <c r="I467" s="349"/>
      <c r="J467" s="349"/>
      <c r="K467" s="349"/>
      <c r="L467" s="349"/>
      <c r="M467" s="349"/>
      <c r="N467" s="349"/>
      <c r="O467" s="349"/>
      <c r="P467" s="349"/>
      <c r="Q467" s="349"/>
      <c r="R467" s="88"/>
    </row>
    <row r="468" spans="1:18" ht="21" customHeight="1">
      <c r="A468" s="267"/>
      <c r="B468" s="216"/>
      <c r="C468" s="216"/>
      <c r="D468" s="216"/>
      <c r="E468" s="216"/>
      <c r="F468" s="216"/>
      <c r="G468" s="216"/>
      <c r="H468" s="216"/>
      <c r="I468" s="350"/>
      <c r="J468" s="350"/>
      <c r="K468" s="350"/>
      <c r="L468" s="102" t="s">
        <v>63</v>
      </c>
      <c r="M468" s="249"/>
      <c r="N468" s="103"/>
      <c r="O468" s="102"/>
      <c r="P468" s="104"/>
      <c r="Q468" s="105"/>
      <c r="R468" s="13"/>
    </row>
    <row r="469" spans="1:18" ht="22.5" customHeight="1">
      <c r="A469" s="217"/>
      <c r="B469" s="110"/>
      <c r="C469" s="110"/>
      <c r="D469" s="110"/>
      <c r="E469" s="110"/>
      <c r="F469" s="110"/>
      <c r="G469" s="110"/>
      <c r="H469" s="110"/>
      <c r="I469" s="110"/>
      <c r="J469" s="110"/>
      <c r="K469" s="106"/>
      <c r="L469" s="107"/>
      <c r="M469" s="107"/>
      <c r="N469" s="107"/>
      <c r="O469" s="107"/>
      <c r="P469" s="108"/>
      <c r="Q469" s="109"/>
      <c r="R469" s="13"/>
    </row>
    <row r="470" spans="1:18" ht="22.5" customHeight="1">
      <c r="A470" s="217"/>
      <c r="B470" s="110"/>
      <c r="C470" s="110"/>
      <c r="D470" s="110"/>
      <c r="E470" s="110"/>
      <c r="F470" s="110"/>
      <c r="G470" s="110"/>
      <c r="H470" s="110"/>
      <c r="I470" s="110"/>
      <c r="J470" s="110"/>
      <c r="K470" s="106"/>
      <c r="L470" s="107"/>
      <c r="M470" s="107"/>
      <c r="N470" s="107"/>
      <c r="O470" s="107"/>
      <c r="P470" s="108"/>
      <c r="Q470" s="109"/>
      <c r="R470" s="13"/>
    </row>
    <row r="471" spans="1:18" ht="22.5" customHeight="1">
      <c r="A471" s="217"/>
      <c r="B471" s="110"/>
      <c r="C471" s="110"/>
      <c r="D471" s="110"/>
      <c r="E471" s="110"/>
      <c r="F471" s="110"/>
      <c r="G471" s="110"/>
      <c r="H471" s="110"/>
      <c r="I471" s="110"/>
      <c r="J471" s="110"/>
      <c r="K471" s="106"/>
      <c r="L471" s="107"/>
      <c r="M471" s="107"/>
      <c r="N471" s="107"/>
      <c r="O471" s="107"/>
      <c r="P471" s="108"/>
      <c r="Q471" s="109"/>
      <c r="R471" s="13"/>
    </row>
    <row r="472" spans="1:18" ht="22.5" customHeight="1">
      <c r="A472" s="217"/>
      <c r="B472" s="110"/>
      <c r="C472" s="110"/>
      <c r="D472" s="110"/>
      <c r="E472" s="110"/>
      <c r="F472" s="110"/>
      <c r="G472" s="110"/>
      <c r="H472" s="110"/>
      <c r="I472" s="110"/>
      <c r="J472" s="110"/>
      <c r="K472" s="106"/>
      <c r="L472" s="107"/>
      <c r="M472" s="107"/>
      <c r="N472" s="107"/>
      <c r="O472" s="107"/>
      <c r="P472" s="108"/>
      <c r="Q472" s="109"/>
      <c r="R472" s="13"/>
    </row>
    <row r="473" spans="1:18" ht="22.5" customHeight="1">
      <c r="A473" s="217"/>
      <c r="B473" s="110"/>
      <c r="C473" s="110"/>
      <c r="D473" s="110"/>
      <c r="E473" s="110"/>
      <c r="F473" s="110"/>
      <c r="G473" s="110"/>
      <c r="H473" s="110"/>
      <c r="I473" s="110"/>
      <c r="J473" s="110"/>
      <c r="K473" s="106"/>
      <c r="L473" s="107"/>
      <c r="M473" s="107"/>
      <c r="N473" s="107"/>
      <c r="O473" s="107"/>
      <c r="P473" s="108"/>
      <c r="Q473" s="109"/>
      <c r="R473" s="13"/>
    </row>
    <row r="474" spans="1:18" ht="22.5" customHeight="1">
      <c r="A474" s="217"/>
      <c r="B474" s="110"/>
      <c r="C474" s="110"/>
      <c r="D474" s="110"/>
      <c r="E474" s="110"/>
      <c r="F474" s="110"/>
      <c r="G474" s="110"/>
      <c r="H474" s="110"/>
      <c r="I474" s="110"/>
      <c r="J474" s="110"/>
      <c r="K474" s="106"/>
      <c r="L474" s="107"/>
      <c r="M474" s="107"/>
      <c r="N474" s="107"/>
      <c r="O474" s="107"/>
      <c r="P474" s="108"/>
      <c r="Q474" s="109"/>
      <c r="R474" s="13"/>
    </row>
    <row r="475" spans="1:18" ht="22.5" customHeight="1">
      <c r="A475" s="217"/>
      <c r="B475" s="110"/>
      <c r="C475" s="110"/>
      <c r="D475" s="110"/>
      <c r="E475" s="110"/>
      <c r="F475" s="110"/>
      <c r="G475" s="110"/>
      <c r="H475" s="110"/>
      <c r="I475" s="110"/>
      <c r="J475" s="110"/>
      <c r="K475" s="106"/>
      <c r="L475" s="107"/>
      <c r="M475" s="107"/>
      <c r="N475" s="107"/>
      <c r="O475" s="107"/>
      <c r="P475" s="108"/>
      <c r="Q475" s="109"/>
      <c r="R475" s="13"/>
    </row>
    <row r="476" spans="1:18" ht="22.5" customHeight="1">
      <c r="A476" s="217"/>
      <c r="B476" s="110"/>
      <c r="C476" s="110"/>
      <c r="D476" s="110"/>
      <c r="E476" s="110"/>
      <c r="F476" s="110"/>
      <c r="G476" s="110"/>
      <c r="H476" s="110"/>
      <c r="I476" s="110"/>
      <c r="J476" s="110"/>
      <c r="K476" s="106"/>
      <c r="L476" s="107"/>
      <c r="M476" s="107"/>
      <c r="N476" s="107"/>
      <c r="O476" s="107"/>
      <c r="P476" s="108"/>
      <c r="Q476" s="109"/>
      <c r="R476" s="13"/>
    </row>
    <row r="477" spans="1:18" ht="22.5" customHeight="1">
      <c r="A477" s="217"/>
      <c r="B477" s="110"/>
      <c r="C477" s="110"/>
      <c r="D477" s="110"/>
      <c r="E477" s="110"/>
      <c r="F477" s="211"/>
      <c r="G477" s="211"/>
      <c r="H477" s="211"/>
      <c r="I477" s="211"/>
      <c r="J477" s="211"/>
      <c r="K477" s="211"/>
      <c r="L477" s="211"/>
      <c r="M477" s="211"/>
      <c r="N477" s="211"/>
      <c r="O477" s="211"/>
      <c r="P477" s="211"/>
      <c r="Q477" s="211"/>
      <c r="R477" s="13"/>
    </row>
    <row r="478" spans="1:18" s="14" customFormat="1" ht="18" customHeight="1">
      <c r="A478" s="217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211"/>
      <c r="Q478" s="211"/>
      <c r="R478" s="13"/>
    </row>
    <row r="479" spans="1:18" s="110" customFormat="1" ht="18" customHeight="1">
      <c r="A479" s="217"/>
      <c r="P479" s="211"/>
      <c r="Q479" s="211"/>
      <c r="R479" s="13"/>
    </row>
    <row r="480" spans="1:18" s="110" customFormat="1" ht="18" customHeight="1">
      <c r="A480" s="217"/>
      <c r="L480" s="111"/>
      <c r="M480" s="111"/>
      <c r="N480" s="111"/>
      <c r="O480" s="111"/>
      <c r="P480" s="112"/>
      <c r="Q480" s="211"/>
      <c r="R480" s="13"/>
    </row>
    <row r="481" spans="1:18">
      <c r="A481" s="217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1"/>
      <c r="M481" s="111"/>
      <c r="N481" s="111"/>
      <c r="O481" s="111"/>
      <c r="P481" s="112"/>
      <c r="Q481" s="211"/>
      <c r="R481" s="13"/>
    </row>
    <row r="482" spans="1:18" ht="14.25">
      <c r="A482" s="113" t="s">
        <v>64</v>
      </c>
      <c r="B482" s="114"/>
      <c r="C482" s="114"/>
      <c r="D482" s="114"/>
      <c r="E482" s="114"/>
      <c r="F482" s="110"/>
      <c r="G482" s="110"/>
      <c r="H482" s="110"/>
      <c r="I482" s="110"/>
      <c r="J482" s="110"/>
      <c r="K482" s="110"/>
      <c r="L482" s="111"/>
      <c r="M482" s="111"/>
      <c r="N482" s="115" t="s">
        <v>59</v>
      </c>
      <c r="O482" s="116"/>
      <c r="P482" s="117"/>
      <c r="Q482" s="116"/>
      <c r="R482" s="118"/>
    </row>
    <row r="483" spans="1:18">
      <c r="A483" s="351"/>
      <c r="B483" s="352"/>
      <c r="C483" s="352"/>
      <c r="D483" s="352"/>
      <c r="E483" s="352"/>
      <c r="F483" s="110"/>
      <c r="G483" s="110"/>
      <c r="H483" s="110"/>
      <c r="I483" s="110"/>
      <c r="J483" s="110"/>
      <c r="K483" s="110"/>
      <c r="L483" s="111"/>
      <c r="M483" s="111"/>
      <c r="N483" s="66"/>
      <c r="O483" s="110"/>
      <c r="P483" s="112"/>
      <c r="Q483" s="110"/>
      <c r="R483" s="119"/>
    </row>
    <row r="484" spans="1:18" ht="14.25">
      <c r="A484" s="120" t="s">
        <v>64</v>
      </c>
      <c r="B484" s="121"/>
      <c r="C484" s="121"/>
      <c r="D484" s="121"/>
      <c r="E484" s="121"/>
      <c r="F484" s="214"/>
      <c r="G484" s="214"/>
      <c r="H484" s="214"/>
      <c r="I484" s="214"/>
      <c r="J484" s="214"/>
      <c r="K484" s="214"/>
      <c r="L484" s="122"/>
      <c r="M484" s="122"/>
      <c r="N484" s="122"/>
      <c r="O484" s="122"/>
      <c r="P484" s="117"/>
      <c r="Q484" s="115"/>
      <c r="R484" s="123"/>
    </row>
  </sheetData>
  <mergeCells count="24">
    <mergeCell ref="F467:Q467"/>
    <mergeCell ref="I468:K468"/>
    <mergeCell ref="A483:E483"/>
    <mergeCell ref="N24:N25"/>
    <mergeCell ref="O24:O25"/>
    <mergeCell ref="P24:P25"/>
    <mergeCell ref="Q24:R25"/>
    <mergeCell ref="Q26:R26"/>
    <mergeCell ref="Q466:R466"/>
    <mergeCell ref="L24:L25"/>
    <mergeCell ref="M24:M25"/>
    <mergeCell ref="A20:D20"/>
    <mergeCell ref="A23:E23"/>
    <mergeCell ref="F23:K23"/>
    <mergeCell ref="A24:E25"/>
    <mergeCell ref="F24:K25"/>
    <mergeCell ref="E20:I20"/>
    <mergeCell ref="A18:D18"/>
    <mergeCell ref="E18:K18"/>
    <mergeCell ref="A1:R1"/>
    <mergeCell ref="A3:J3"/>
    <mergeCell ref="A4:K5"/>
    <mergeCell ref="N15:Q15"/>
    <mergeCell ref="L17:R17"/>
  </mergeCells>
  <phoneticPr fontId="4" type="noConversion"/>
  <printOptions horizontalCentered="1"/>
  <pageMargins left="0.23622047244094491" right="0.15748031496062992" top="0.70866141732283472" bottom="0.59055118110236227" header="0" footer="0"/>
  <pageSetup paperSize="9" scale="75" fitToHeight="2" orientation="portrait" r:id="rId1"/>
  <headerFooter scaleWithDoc="0" alignWithMargins="0"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Invoice</vt:lpstr>
      <vt:lpstr>Packing 1</vt:lpstr>
      <vt:lpstr>Invoice!Print_Area</vt:lpstr>
      <vt:lpstr>'Packing 1'!Print_Area</vt:lpstr>
      <vt:lpstr>Invoice!Print_Titles</vt:lpstr>
      <vt:lpstr>'Packing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박상일</dc:creator>
  <cp:lastModifiedBy>Admin</cp:lastModifiedBy>
  <cp:lastPrinted>2025-05-02T02:52:55Z</cp:lastPrinted>
  <dcterms:created xsi:type="dcterms:W3CDTF">2018-07-11T02:18:55Z</dcterms:created>
  <dcterms:modified xsi:type="dcterms:W3CDTF">2025-05-02T02:53:06Z</dcterms:modified>
</cp:coreProperties>
</file>